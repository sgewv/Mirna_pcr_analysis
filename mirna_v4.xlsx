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../Downloads/"/>
    </mc:Choice>
  </mc:AlternateContent>
  <xr:revisionPtr revIDLastSave="0" documentId="13_ncr:1_{4EF9E808-3718-0D4F-96A3-B6FE7E098B45}" xr6:coauthVersionLast="47" xr6:coauthVersionMax="47" xr10:uidLastSave="{00000000-0000-0000-0000-000000000000}"/>
  <bookViews>
    <workbookView xWindow="0" yWindow="600" windowWidth="28800" windowHeight="15720" xr2:uid="{D2045A9D-A7BE-4A44-A39D-B6F20EA09161}"/>
  </bookViews>
  <sheets>
    <sheet name="Final" sheetId="1" r:id="rId1"/>
  </sheets>
  <definedNames>
    <definedName name="_xlnm._FilterDatabase" localSheetId="0" hidden="1">Final!$A$1:$Q$1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6" i="1" l="1"/>
  <c r="BM16" i="1" s="1"/>
  <c r="BN16" i="1" s="1"/>
  <c r="BD32" i="1"/>
  <c r="BM32" i="1" s="1"/>
  <c r="BN32" i="1" s="1"/>
  <c r="BD48" i="1"/>
  <c r="BM48" i="1" s="1"/>
  <c r="BN48" i="1" s="1"/>
  <c r="BD64" i="1"/>
  <c r="BM64" i="1" s="1"/>
  <c r="BN64" i="1" s="1"/>
  <c r="BD80" i="1"/>
  <c r="BM80" i="1" s="1"/>
  <c r="BN80" i="1" s="1"/>
  <c r="AT47" i="1"/>
  <c r="BF47" i="1" s="1"/>
  <c r="AM2" i="1"/>
  <c r="AR3" i="1"/>
  <c r="BD3" i="1" s="1"/>
  <c r="BM3" i="1" s="1"/>
  <c r="BN3" i="1" s="1"/>
  <c r="AS3" i="1"/>
  <c r="BE3" i="1" s="1"/>
  <c r="AT3" i="1"/>
  <c r="BF3" i="1" s="1"/>
  <c r="AU3" i="1"/>
  <c r="BG3" i="1" s="1"/>
  <c r="AV3" i="1"/>
  <c r="BH3" i="1" s="1"/>
  <c r="AW3" i="1"/>
  <c r="BI3" i="1" s="1"/>
  <c r="AX3" i="1"/>
  <c r="BJ3" i="1" s="1"/>
  <c r="AY3" i="1"/>
  <c r="BK3" i="1" s="1"/>
  <c r="AZ3" i="1"/>
  <c r="BL3" i="1" s="1"/>
  <c r="AR4" i="1"/>
  <c r="BD4" i="1" s="1"/>
  <c r="BM4" i="1" s="1"/>
  <c r="BN4" i="1" s="1"/>
  <c r="AS4" i="1"/>
  <c r="BE4" i="1" s="1"/>
  <c r="AT4" i="1"/>
  <c r="BF4" i="1" s="1"/>
  <c r="AU4" i="1"/>
  <c r="BG4" i="1" s="1"/>
  <c r="AV4" i="1"/>
  <c r="BH4" i="1" s="1"/>
  <c r="AW4" i="1"/>
  <c r="BI4" i="1" s="1"/>
  <c r="AX4" i="1"/>
  <c r="BJ4" i="1" s="1"/>
  <c r="AY4" i="1"/>
  <c r="BK4" i="1" s="1"/>
  <c r="AZ4" i="1"/>
  <c r="BL4" i="1" s="1"/>
  <c r="AR5" i="1"/>
  <c r="BD5" i="1" s="1"/>
  <c r="BM5" i="1" s="1"/>
  <c r="BN5" i="1" s="1"/>
  <c r="AS5" i="1"/>
  <c r="BE5" i="1" s="1"/>
  <c r="AT5" i="1"/>
  <c r="BF5" i="1" s="1"/>
  <c r="AU5" i="1"/>
  <c r="BG5" i="1" s="1"/>
  <c r="AV5" i="1"/>
  <c r="BH5" i="1" s="1"/>
  <c r="AW5" i="1"/>
  <c r="BI5" i="1" s="1"/>
  <c r="AX5" i="1"/>
  <c r="BJ5" i="1" s="1"/>
  <c r="AY5" i="1"/>
  <c r="BK5" i="1" s="1"/>
  <c r="AZ5" i="1"/>
  <c r="BL5" i="1" s="1"/>
  <c r="AR6" i="1"/>
  <c r="BD6" i="1" s="1"/>
  <c r="BM6" i="1" s="1"/>
  <c r="BN6" i="1" s="1"/>
  <c r="AS6" i="1"/>
  <c r="BE6" i="1" s="1"/>
  <c r="AT6" i="1"/>
  <c r="BF6" i="1" s="1"/>
  <c r="AU6" i="1"/>
  <c r="BG6" i="1" s="1"/>
  <c r="AV6" i="1"/>
  <c r="BH6" i="1" s="1"/>
  <c r="AW6" i="1"/>
  <c r="BI6" i="1" s="1"/>
  <c r="AX6" i="1"/>
  <c r="BJ6" i="1" s="1"/>
  <c r="AY6" i="1"/>
  <c r="BK6" i="1" s="1"/>
  <c r="AZ6" i="1"/>
  <c r="BL6" i="1" s="1"/>
  <c r="AR7" i="1"/>
  <c r="BD7" i="1" s="1"/>
  <c r="BM7" i="1" s="1"/>
  <c r="BN7" i="1" s="1"/>
  <c r="AS7" i="1"/>
  <c r="BE7" i="1" s="1"/>
  <c r="AT7" i="1"/>
  <c r="BF7" i="1" s="1"/>
  <c r="AU7" i="1"/>
  <c r="BG7" i="1" s="1"/>
  <c r="AV7" i="1"/>
  <c r="BH7" i="1" s="1"/>
  <c r="AW7" i="1"/>
  <c r="BI7" i="1" s="1"/>
  <c r="AX7" i="1"/>
  <c r="BJ7" i="1" s="1"/>
  <c r="AY7" i="1"/>
  <c r="BK7" i="1" s="1"/>
  <c r="AZ7" i="1"/>
  <c r="BL7" i="1" s="1"/>
  <c r="AR8" i="1"/>
  <c r="BD8" i="1" s="1"/>
  <c r="BM8" i="1" s="1"/>
  <c r="BN8" i="1" s="1"/>
  <c r="AS8" i="1"/>
  <c r="BE8" i="1" s="1"/>
  <c r="AT8" i="1"/>
  <c r="BF8" i="1" s="1"/>
  <c r="AU8" i="1"/>
  <c r="BG8" i="1" s="1"/>
  <c r="AV8" i="1"/>
  <c r="BH8" i="1" s="1"/>
  <c r="AW8" i="1"/>
  <c r="BI8" i="1" s="1"/>
  <c r="AX8" i="1"/>
  <c r="BJ8" i="1" s="1"/>
  <c r="AY8" i="1"/>
  <c r="BK8" i="1" s="1"/>
  <c r="AZ8" i="1"/>
  <c r="BL8" i="1" s="1"/>
  <c r="AR9" i="1"/>
  <c r="BD9" i="1" s="1"/>
  <c r="BM9" i="1" s="1"/>
  <c r="BN9" i="1" s="1"/>
  <c r="AS9" i="1"/>
  <c r="BE9" i="1" s="1"/>
  <c r="AT9" i="1"/>
  <c r="BF9" i="1" s="1"/>
  <c r="AU9" i="1"/>
  <c r="BG9" i="1" s="1"/>
  <c r="AV9" i="1"/>
  <c r="BH9" i="1" s="1"/>
  <c r="AW9" i="1"/>
  <c r="BI9" i="1" s="1"/>
  <c r="AX9" i="1"/>
  <c r="BJ9" i="1" s="1"/>
  <c r="AY9" i="1"/>
  <c r="BK9" i="1" s="1"/>
  <c r="AZ9" i="1"/>
  <c r="BL9" i="1" s="1"/>
  <c r="AR10" i="1"/>
  <c r="BD10" i="1" s="1"/>
  <c r="BM10" i="1" s="1"/>
  <c r="BN10" i="1" s="1"/>
  <c r="AS10" i="1"/>
  <c r="BE10" i="1" s="1"/>
  <c r="AT10" i="1"/>
  <c r="BF10" i="1" s="1"/>
  <c r="AU10" i="1"/>
  <c r="BG10" i="1" s="1"/>
  <c r="AV10" i="1"/>
  <c r="BH10" i="1" s="1"/>
  <c r="AW10" i="1"/>
  <c r="BI10" i="1" s="1"/>
  <c r="AX10" i="1"/>
  <c r="BJ10" i="1" s="1"/>
  <c r="AY10" i="1"/>
  <c r="BK10" i="1" s="1"/>
  <c r="AZ10" i="1"/>
  <c r="BL10" i="1" s="1"/>
  <c r="AR11" i="1"/>
  <c r="BD11" i="1" s="1"/>
  <c r="BM11" i="1" s="1"/>
  <c r="BN11" i="1" s="1"/>
  <c r="AS11" i="1"/>
  <c r="BE11" i="1" s="1"/>
  <c r="AT11" i="1"/>
  <c r="BF11" i="1" s="1"/>
  <c r="AU11" i="1"/>
  <c r="BG11" i="1" s="1"/>
  <c r="AV11" i="1"/>
  <c r="BH11" i="1" s="1"/>
  <c r="AW11" i="1"/>
  <c r="BI11" i="1" s="1"/>
  <c r="AX11" i="1"/>
  <c r="BJ11" i="1" s="1"/>
  <c r="AY11" i="1"/>
  <c r="BK11" i="1" s="1"/>
  <c r="AZ11" i="1"/>
  <c r="BL11" i="1" s="1"/>
  <c r="AR12" i="1"/>
  <c r="BD12" i="1" s="1"/>
  <c r="BM12" i="1" s="1"/>
  <c r="BN12" i="1" s="1"/>
  <c r="AS12" i="1"/>
  <c r="BE12" i="1" s="1"/>
  <c r="AT12" i="1"/>
  <c r="BF12" i="1" s="1"/>
  <c r="AU12" i="1"/>
  <c r="BG12" i="1" s="1"/>
  <c r="AV12" i="1"/>
  <c r="BH12" i="1" s="1"/>
  <c r="AW12" i="1"/>
  <c r="BI12" i="1" s="1"/>
  <c r="AX12" i="1"/>
  <c r="BJ12" i="1" s="1"/>
  <c r="AY12" i="1"/>
  <c r="BK12" i="1" s="1"/>
  <c r="AZ12" i="1"/>
  <c r="BL12" i="1" s="1"/>
  <c r="AR13" i="1"/>
  <c r="BD13" i="1" s="1"/>
  <c r="BM13" i="1" s="1"/>
  <c r="BN13" i="1" s="1"/>
  <c r="AS13" i="1"/>
  <c r="BE13" i="1" s="1"/>
  <c r="AT13" i="1"/>
  <c r="BF13" i="1" s="1"/>
  <c r="AU13" i="1"/>
  <c r="BG13" i="1" s="1"/>
  <c r="AV13" i="1"/>
  <c r="BH13" i="1" s="1"/>
  <c r="AW13" i="1"/>
  <c r="BI13" i="1" s="1"/>
  <c r="AX13" i="1"/>
  <c r="BJ13" i="1" s="1"/>
  <c r="AY13" i="1"/>
  <c r="BK13" i="1" s="1"/>
  <c r="AZ13" i="1"/>
  <c r="BL13" i="1" s="1"/>
  <c r="AR14" i="1"/>
  <c r="BD14" i="1" s="1"/>
  <c r="BM14" i="1" s="1"/>
  <c r="BN14" i="1" s="1"/>
  <c r="AS14" i="1"/>
  <c r="BE14" i="1" s="1"/>
  <c r="AT14" i="1"/>
  <c r="BF14" i="1" s="1"/>
  <c r="AU14" i="1"/>
  <c r="BG14" i="1" s="1"/>
  <c r="AV14" i="1"/>
  <c r="BH14" i="1" s="1"/>
  <c r="AW14" i="1"/>
  <c r="BI14" i="1" s="1"/>
  <c r="AX14" i="1"/>
  <c r="BJ14" i="1" s="1"/>
  <c r="AY14" i="1"/>
  <c r="BK14" i="1" s="1"/>
  <c r="AZ14" i="1"/>
  <c r="BL14" i="1" s="1"/>
  <c r="AR15" i="1"/>
  <c r="BD15" i="1" s="1"/>
  <c r="BM15" i="1" s="1"/>
  <c r="BN15" i="1" s="1"/>
  <c r="AS15" i="1"/>
  <c r="BE15" i="1" s="1"/>
  <c r="AT15" i="1"/>
  <c r="BF15" i="1" s="1"/>
  <c r="AU15" i="1"/>
  <c r="BG15" i="1" s="1"/>
  <c r="AV15" i="1"/>
  <c r="BH15" i="1" s="1"/>
  <c r="AW15" i="1"/>
  <c r="BI15" i="1" s="1"/>
  <c r="AX15" i="1"/>
  <c r="BJ15" i="1" s="1"/>
  <c r="AY15" i="1"/>
  <c r="BK15" i="1" s="1"/>
  <c r="AZ15" i="1"/>
  <c r="BL15" i="1" s="1"/>
  <c r="AR16" i="1"/>
  <c r="AS16" i="1"/>
  <c r="BE16" i="1" s="1"/>
  <c r="AT16" i="1"/>
  <c r="BF16" i="1" s="1"/>
  <c r="AU16" i="1"/>
  <c r="BG16" i="1" s="1"/>
  <c r="AV16" i="1"/>
  <c r="BH16" i="1" s="1"/>
  <c r="AW16" i="1"/>
  <c r="BI16" i="1" s="1"/>
  <c r="AX16" i="1"/>
  <c r="BJ16" i="1" s="1"/>
  <c r="AY16" i="1"/>
  <c r="BK16" i="1" s="1"/>
  <c r="AZ16" i="1"/>
  <c r="BL16" i="1" s="1"/>
  <c r="AR17" i="1"/>
  <c r="BD17" i="1" s="1"/>
  <c r="BM17" i="1" s="1"/>
  <c r="BN17" i="1" s="1"/>
  <c r="AS17" i="1"/>
  <c r="BE17" i="1" s="1"/>
  <c r="AT17" i="1"/>
  <c r="BF17" i="1" s="1"/>
  <c r="AU17" i="1"/>
  <c r="BG17" i="1" s="1"/>
  <c r="AV17" i="1"/>
  <c r="BH17" i="1" s="1"/>
  <c r="AW17" i="1"/>
  <c r="BI17" i="1" s="1"/>
  <c r="AX17" i="1"/>
  <c r="BJ17" i="1" s="1"/>
  <c r="AY17" i="1"/>
  <c r="BK17" i="1" s="1"/>
  <c r="AZ17" i="1"/>
  <c r="BL17" i="1" s="1"/>
  <c r="AR18" i="1"/>
  <c r="BD18" i="1" s="1"/>
  <c r="BM18" i="1" s="1"/>
  <c r="BN18" i="1" s="1"/>
  <c r="AS18" i="1"/>
  <c r="BE18" i="1" s="1"/>
  <c r="AT18" i="1"/>
  <c r="BF18" i="1" s="1"/>
  <c r="AU18" i="1"/>
  <c r="BG18" i="1" s="1"/>
  <c r="AV18" i="1"/>
  <c r="BH18" i="1" s="1"/>
  <c r="AW18" i="1"/>
  <c r="BI18" i="1" s="1"/>
  <c r="AX18" i="1"/>
  <c r="BJ18" i="1" s="1"/>
  <c r="AY18" i="1"/>
  <c r="BK18" i="1" s="1"/>
  <c r="AZ18" i="1"/>
  <c r="BL18" i="1" s="1"/>
  <c r="AR19" i="1"/>
  <c r="BD19" i="1" s="1"/>
  <c r="BM19" i="1" s="1"/>
  <c r="BN19" i="1" s="1"/>
  <c r="AS19" i="1"/>
  <c r="BE19" i="1" s="1"/>
  <c r="AT19" i="1"/>
  <c r="BF19" i="1" s="1"/>
  <c r="AU19" i="1"/>
  <c r="BG19" i="1" s="1"/>
  <c r="AV19" i="1"/>
  <c r="BH19" i="1" s="1"/>
  <c r="AW19" i="1"/>
  <c r="BI19" i="1" s="1"/>
  <c r="AX19" i="1"/>
  <c r="BJ19" i="1" s="1"/>
  <c r="AY19" i="1"/>
  <c r="BK19" i="1" s="1"/>
  <c r="AZ19" i="1"/>
  <c r="BL19" i="1" s="1"/>
  <c r="AR20" i="1"/>
  <c r="BD20" i="1" s="1"/>
  <c r="BM20" i="1" s="1"/>
  <c r="BN20" i="1" s="1"/>
  <c r="AS20" i="1"/>
  <c r="BE20" i="1" s="1"/>
  <c r="AT20" i="1"/>
  <c r="BF20" i="1" s="1"/>
  <c r="AU20" i="1"/>
  <c r="BG20" i="1" s="1"/>
  <c r="AV20" i="1"/>
  <c r="BH20" i="1" s="1"/>
  <c r="AW20" i="1"/>
  <c r="BI20" i="1" s="1"/>
  <c r="AX20" i="1"/>
  <c r="BJ20" i="1" s="1"/>
  <c r="AY20" i="1"/>
  <c r="BK20" i="1" s="1"/>
  <c r="AZ20" i="1"/>
  <c r="BL20" i="1" s="1"/>
  <c r="AR21" i="1"/>
  <c r="BD21" i="1" s="1"/>
  <c r="BM21" i="1" s="1"/>
  <c r="BN21" i="1" s="1"/>
  <c r="AS21" i="1"/>
  <c r="BE21" i="1" s="1"/>
  <c r="AT21" i="1"/>
  <c r="BF21" i="1" s="1"/>
  <c r="AU21" i="1"/>
  <c r="BG21" i="1" s="1"/>
  <c r="AV21" i="1"/>
  <c r="BH21" i="1" s="1"/>
  <c r="AW21" i="1"/>
  <c r="BI21" i="1" s="1"/>
  <c r="AX21" i="1"/>
  <c r="BJ21" i="1" s="1"/>
  <c r="AY21" i="1"/>
  <c r="BK21" i="1" s="1"/>
  <c r="AZ21" i="1"/>
  <c r="BL21" i="1" s="1"/>
  <c r="AR22" i="1"/>
  <c r="BD22" i="1" s="1"/>
  <c r="BM22" i="1" s="1"/>
  <c r="BN22" i="1" s="1"/>
  <c r="AS22" i="1"/>
  <c r="BE22" i="1" s="1"/>
  <c r="AT22" i="1"/>
  <c r="BF22" i="1" s="1"/>
  <c r="AU22" i="1"/>
  <c r="BG22" i="1" s="1"/>
  <c r="AV22" i="1"/>
  <c r="BH22" i="1" s="1"/>
  <c r="AW22" i="1"/>
  <c r="BI22" i="1" s="1"/>
  <c r="AX22" i="1"/>
  <c r="BJ22" i="1" s="1"/>
  <c r="AY22" i="1"/>
  <c r="BK22" i="1" s="1"/>
  <c r="AZ22" i="1"/>
  <c r="BL22" i="1" s="1"/>
  <c r="AR23" i="1"/>
  <c r="BD23" i="1" s="1"/>
  <c r="BM23" i="1" s="1"/>
  <c r="BN23" i="1" s="1"/>
  <c r="AS23" i="1"/>
  <c r="BE23" i="1" s="1"/>
  <c r="AT23" i="1"/>
  <c r="BF23" i="1" s="1"/>
  <c r="AU23" i="1"/>
  <c r="BG23" i="1" s="1"/>
  <c r="AV23" i="1"/>
  <c r="BH23" i="1" s="1"/>
  <c r="AW23" i="1"/>
  <c r="BI23" i="1" s="1"/>
  <c r="AX23" i="1"/>
  <c r="BJ23" i="1" s="1"/>
  <c r="AY23" i="1"/>
  <c r="BK23" i="1" s="1"/>
  <c r="AZ23" i="1"/>
  <c r="BL23" i="1" s="1"/>
  <c r="AR24" i="1"/>
  <c r="BD24" i="1" s="1"/>
  <c r="BM24" i="1" s="1"/>
  <c r="BN24" i="1" s="1"/>
  <c r="AS24" i="1"/>
  <c r="BE24" i="1" s="1"/>
  <c r="AT24" i="1"/>
  <c r="BF24" i="1" s="1"/>
  <c r="AU24" i="1"/>
  <c r="BG24" i="1" s="1"/>
  <c r="AV24" i="1"/>
  <c r="BH24" i="1" s="1"/>
  <c r="AW24" i="1"/>
  <c r="BI24" i="1" s="1"/>
  <c r="AX24" i="1"/>
  <c r="BJ24" i="1" s="1"/>
  <c r="AY24" i="1"/>
  <c r="BK24" i="1" s="1"/>
  <c r="AZ24" i="1"/>
  <c r="BL24" i="1" s="1"/>
  <c r="AR25" i="1"/>
  <c r="BD25" i="1" s="1"/>
  <c r="BM25" i="1" s="1"/>
  <c r="BN25" i="1" s="1"/>
  <c r="AS25" i="1"/>
  <c r="BE25" i="1" s="1"/>
  <c r="AT25" i="1"/>
  <c r="BF25" i="1" s="1"/>
  <c r="AU25" i="1"/>
  <c r="BG25" i="1" s="1"/>
  <c r="AV25" i="1"/>
  <c r="BH25" i="1" s="1"/>
  <c r="AW25" i="1"/>
  <c r="BI25" i="1" s="1"/>
  <c r="AX25" i="1"/>
  <c r="BJ25" i="1" s="1"/>
  <c r="AY25" i="1"/>
  <c r="BK25" i="1" s="1"/>
  <c r="AZ25" i="1"/>
  <c r="BL25" i="1" s="1"/>
  <c r="AR26" i="1"/>
  <c r="BD26" i="1" s="1"/>
  <c r="BM26" i="1" s="1"/>
  <c r="BN26" i="1" s="1"/>
  <c r="AS26" i="1"/>
  <c r="BE26" i="1" s="1"/>
  <c r="AT26" i="1"/>
  <c r="BF26" i="1" s="1"/>
  <c r="AU26" i="1"/>
  <c r="BG26" i="1" s="1"/>
  <c r="AV26" i="1"/>
  <c r="BH26" i="1" s="1"/>
  <c r="AW26" i="1"/>
  <c r="BI26" i="1" s="1"/>
  <c r="AX26" i="1"/>
  <c r="BJ26" i="1" s="1"/>
  <c r="AY26" i="1"/>
  <c r="BK26" i="1" s="1"/>
  <c r="AZ26" i="1"/>
  <c r="BL26" i="1" s="1"/>
  <c r="AR27" i="1"/>
  <c r="BD27" i="1" s="1"/>
  <c r="BM27" i="1" s="1"/>
  <c r="BN27" i="1" s="1"/>
  <c r="AS27" i="1"/>
  <c r="BE27" i="1" s="1"/>
  <c r="AT27" i="1"/>
  <c r="BF27" i="1" s="1"/>
  <c r="AU27" i="1"/>
  <c r="BG27" i="1" s="1"/>
  <c r="AV27" i="1"/>
  <c r="BH27" i="1" s="1"/>
  <c r="AW27" i="1"/>
  <c r="BI27" i="1" s="1"/>
  <c r="AX27" i="1"/>
  <c r="BJ27" i="1" s="1"/>
  <c r="AY27" i="1"/>
  <c r="BK27" i="1" s="1"/>
  <c r="AZ27" i="1"/>
  <c r="BL27" i="1" s="1"/>
  <c r="AR28" i="1"/>
  <c r="BD28" i="1" s="1"/>
  <c r="BM28" i="1" s="1"/>
  <c r="BN28" i="1" s="1"/>
  <c r="AS28" i="1"/>
  <c r="BE28" i="1" s="1"/>
  <c r="AT28" i="1"/>
  <c r="BF28" i="1" s="1"/>
  <c r="AU28" i="1"/>
  <c r="BG28" i="1" s="1"/>
  <c r="AV28" i="1"/>
  <c r="BH28" i="1" s="1"/>
  <c r="AW28" i="1"/>
  <c r="BI28" i="1" s="1"/>
  <c r="AX28" i="1"/>
  <c r="BJ28" i="1" s="1"/>
  <c r="AY28" i="1"/>
  <c r="BK28" i="1" s="1"/>
  <c r="AZ28" i="1"/>
  <c r="BL28" i="1" s="1"/>
  <c r="AR29" i="1"/>
  <c r="BD29" i="1" s="1"/>
  <c r="BM29" i="1" s="1"/>
  <c r="BN29" i="1" s="1"/>
  <c r="AS29" i="1"/>
  <c r="BE29" i="1" s="1"/>
  <c r="AT29" i="1"/>
  <c r="BF29" i="1" s="1"/>
  <c r="AU29" i="1"/>
  <c r="BG29" i="1" s="1"/>
  <c r="AV29" i="1"/>
  <c r="BH29" i="1" s="1"/>
  <c r="AW29" i="1"/>
  <c r="BI29" i="1" s="1"/>
  <c r="AX29" i="1"/>
  <c r="BJ29" i="1" s="1"/>
  <c r="AY29" i="1"/>
  <c r="BK29" i="1" s="1"/>
  <c r="AZ29" i="1"/>
  <c r="BL29" i="1" s="1"/>
  <c r="AR30" i="1"/>
  <c r="BD30" i="1" s="1"/>
  <c r="BM30" i="1" s="1"/>
  <c r="BN30" i="1" s="1"/>
  <c r="AS30" i="1"/>
  <c r="BE30" i="1" s="1"/>
  <c r="AT30" i="1"/>
  <c r="BF30" i="1" s="1"/>
  <c r="AU30" i="1"/>
  <c r="BG30" i="1" s="1"/>
  <c r="AV30" i="1"/>
  <c r="BH30" i="1" s="1"/>
  <c r="AW30" i="1"/>
  <c r="BI30" i="1" s="1"/>
  <c r="AX30" i="1"/>
  <c r="BJ30" i="1" s="1"/>
  <c r="AY30" i="1"/>
  <c r="BK30" i="1" s="1"/>
  <c r="AZ30" i="1"/>
  <c r="BL30" i="1" s="1"/>
  <c r="AR31" i="1"/>
  <c r="BD31" i="1" s="1"/>
  <c r="BM31" i="1" s="1"/>
  <c r="BN31" i="1" s="1"/>
  <c r="AS31" i="1"/>
  <c r="BE31" i="1" s="1"/>
  <c r="AT31" i="1"/>
  <c r="BF31" i="1" s="1"/>
  <c r="AU31" i="1"/>
  <c r="BG31" i="1" s="1"/>
  <c r="AV31" i="1"/>
  <c r="BH31" i="1" s="1"/>
  <c r="AW31" i="1"/>
  <c r="BI31" i="1" s="1"/>
  <c r="AX31" i="1"/>
  <c r="BJ31" i="1" s="1"/>
  <c r="AY31" i="1"/>
  <c r="BK31" i="1" s="1"/>
  <c r="AZ31" i="1"/>
  <c r="BL31" i="1" s="1"/>
  <c r="AR32" i="1"/>
  <c r="AS32" i="1"/>
  <c r="BE32" i="1" s="1"/>
  <c r="AT32" i="1"/>
  <c r="BF32" i="1" s="1"/>
  <c r="AU32" i="1"/>
  <c r="BG32" i="1" s="1"/>
  <c r="AV32" i="1"/>
  <c r="BH32" i="1" s="1"/>
  <c r="AW32" i="1"/>
  <c r="BI32" i="1" s="1"/>
  <c r="AX32" i="1"/>
  <c r="BJ32" i="1" s="1"/>
  <c r="AY32" i="1"/>
  <c r="BK32" i="1" s="1"/>
  <c r="AZ32" i="1"/>
  <c r="BL32" i="1" s="1"/>
  <c r="AR33" i="1"/>
  <c r="BD33" i="1" s="1"/>
  <c r="BM33" i="1" s="1"/>
  <c r="BN33" i="1" s="1"/>
  <c r="AS33" i="1"/>
  <c r="BE33" i="1" s="1"/>
  <c r="AT33" i="1"/>
  <c r="BF33" i="1" s="1"/>
  <c r="AU33" i="1"/>
  <c r="BG33" i="1" s="1"/>
  <c r="AV33" i="1"/>
  <c r="BH33" i="1" s="1"/>
  <c r="AW33" i="1"/>
  <c r="BI33" i="1" s="1"/>
  <c r="AX33" i="1"/>
  <c r="BJ33" i="1" s="1"/>
  <c r="AY33" i="1"/>
  <c r="BK33" i="1" s="1"/>
  <c r="AZ33" i="1"/>
  <c r="BL33" i="1" s="1"/>
  <c r="AR34" i="1"/>
  <c r="BD34" i="1" s="1"/>
  <c r="BM34" i="1" s="1"/>
  <c r="BN34" i="1" s="1"/>
  <c r="AS34" i="1"/>
  <c r="BE34" i="1" s="1"/>
  <c r="AT34" i="1"/>
  <c r="BF34" i="1" s="1"/>
  <c r="AU34" i="1"/>
  <c r="BG34" i="1" s="1"/>
  <c r="AV34" i="1"/>
  <c r="BH34" i="1" s="1"/>
  <c r="AW34" i="1"/>
  <c r="BI34" i="1" s="1"/>
  <c r="AX34" i="1"/>
  <c r="BJ34" i="1" s="1"/>
  <c r="AY34" i="1"/>
  <c r="BK34" i="1" s="1"/>
  <c r="AZ34" i="1"/>
  <c r="BL34" i="1" s="1"/>
  <c r="AR35" i="1"/>
  <c r="BD35" i="1" s="1"/>
  <c r="BM35" i="1" s="1"/>
  <c r="BN35" i="1" s="1"/>
  <c r="AS35" i="1"/>
  <c r="BE35" i="1" s="1"/>
  <c r="AT35" i="1"/>
  <c r="BF35" i="1" s="1"/>
  <c r="AU35" i="1"/>
  <c r="BG35" i="1" s="1"/>
  <c r="AV35" i="1"/>
  <c r="BH35" i="1" s="1"/>
  <c r="AW35" i="1"/>
  <c r="BI35" i="1" s="1"/>
  <c r="AX35" i="1"/>
  <c r="BJ35" i="1" s="1"/>
  <c r="AY35" i="1"/>
  <c r="BK35" i="1" s="1"/>
  <c r="AZ35" i="1"/>
  <c r="BL35" i="1" s="1"/>
  <c r="AR36" i="1"/>
  <c r="BD36" i="1" s="1"/>
  <c r="BM36" i="1" s="1"/>
  <c r="BN36" i="1" s="1"/>
  <c r="AS36" i="1"/>
  <c r="BE36" i="1" s="1"/>
  <c r="AT36" i="1"/>
  <c r="BF36" i="1" s="1"/>
  <c r="AU36" i="1"/>
  <c r="BG36" i="1" s="1"/>
  <c r="AV36" i="1"/>
  <c r="BH36" i="1" s="1"/>
  <c r="AW36" i="1"/>
  <c r="BI36" i="1" s="1"/>
  <c r="AX36" i="1"/>
  <c r="BJ36" i="1" s="1"/>
  <c r="AY36" i="1"/>
  <c r="BK36" i="1" s="1"/>
  <c r="AZ36" i="1"/>
  <c r="BL36" i="1" s="1"/>
  <c r="AR37" i="1"/>
  <c r="BD37" i="1" s="1"/>
  <c r="BM37" i="1" s="1"/>
  <c r="BN37" i="1" s="1"/>
  <c r="AS37" i="1"/>
  <c r="BE37" i="1" s="1"/>
  <c r="AT37" i="1"/>
  <c r="BF37" i="1" s="1"/>
  <c r="AU37" i="1"/>
  <c r="BG37" i="1" s="1"/>
  <c r="AV37" i="1"/>
  <c r="BH37" i="1" s="1"/>
  <c r="AW37" i="1"/>
  <c r="BI37" i="1" s="1"/>
  <c r="AX37" i="1"/>
  <c r="BJ37" i="1" s="1"/>
  <c r="AY37" i="1"/>
  <c r="BK37" i="1" s="1"/>
  <c r="AZ37" i="1"/>
  <c r="BL37" i="1" s="1"/>
  <c r="AR38" i="1"/>
  <c r="BD38" i="1" s="1"/>
  <c r="BM38" i="1" s="1"/>
  <c r="BN38" i="1" s="1"/>
  <c r="AS38" i="1"/>
  <c r="BE38" i="1" s="1"/>
  <c r="AT38" i="1"/>
  <c r="BF38" i="1" s="1"/>
  <c r="AU38" i="1"/>
  <c r="BG38" i="1" s="1"/>
  <c r="AV38" i="1"/>
  <c r="BH38" i="1" s="1"/>
  <c r="AW38" i="1"/>
  <c r="BI38" i="1" s="1"/>
  <c r="AX38" i="1"/>
  <c r="BJ38" i="1" s="1"/>
  <c r="AY38" i="1"/>
  <c r="BK38" i="1" s="1"/>
  <c r="AZ38" i="1"/>
  <c r="BL38" i="1" s="1"/>
  <c r="AR39" i="1"/>
  <c r="BD39" i="1" s="1"/>
  <c r="BM39" i="1" s="1"/>
  <c r="BN39" i="1" s="1"/>
  <c r="AS39" i="1"/>
  <c r="BE39" i="1" s="1"/>
  <c r="AT39" i="1"/>
  <c r="BF39" i="1" s="1"/>
  <c r="AU39" i="1"/>
  <c r="BG39" i="1" s="1"/>
  <c r="AV39" i="1"/>
  <c r="BH39" i="1" s="1"/>
  <c r="AW39" i="1"/>
  <c r="BI39" i="1" s="1"/>
  <c r="AX39" i="1"/>
  <c r="BJ39" i="1" s="1"/>
  <c r="AY39" i="1"/>
  <c r="BK39" i="1" s="1"/>
  <c r="AZ39" i="1"/>
  <c r="BL39" i="1" s="1"/>
  <c r="AR40" i="1"/>
  <c r="BD40" i="1" s="1"/>
  <c r="BM40" i="1" s="1"/>
  <c r="BN40" i="1" s="1"/>
  <c r="AS40" i="1"/>
  <c r="BE40" i="1" s="1"/>
  <c r="AT40" i="1"/>
  <c r="BF40" i="1" s="1"/>
  <c r="AU40" i="1"/>
  <c r="BG40" i="1" s="1"/>
  <c r="AV40" i="1"/>
  <c r="BH40" i="1" s="1"/>
  <c r="AW40" i="1"/>
  <c r="BI40" i="1" s="1"/>
  <c r="AX40" i="1"/>
  <c r="BJ40" i="1" s="1"/>
  <c r="AY40" i="1"/>
  <c r="BK40" i="1" s="1"/>
  <c r="AZ40" i="1"/>
  <c r="BL40" i="1" s="1"/>
  <c r="AR41" i="1"/>
  <c r="BD41" i="1" s="1"/>
  <c r="BM41" i="1" s="1"/>
  <c r="BN41" i="1" s="1"/>
  <c r="AS41" i="1"/>
  <c r="BE41" i="1" s="1"/>
  <c r="AT41" i="1"/>
  <c r="BF41" i="1" s="1"/>
  <c r="AU41" i="1"/>
  <c r="BG41" i="1" s="1"/>
  <c r="AV41" i="1"/>
  <c r="BH41" i="1" s="1"/>
  <c r="AW41" i="1"/>
  <c r="BI41" i="1" s="1"/>
  <c r="AX41" i="1"/>
  <c r="BJ41" i="1" s="1"/>
  <c r="AY41" i="1"/>
  <c r="BK41" i="1" s="1"/>
  <c r="AZ41" i="1"/>
  <c r="BL41" i="1" s="1"/>
  <c r="AR42" i="1"/>
  <c r="BD42" i="1" s="1"/>
  <c r="BM42" i="1" s="1"/>
  <c r="BN42" i="1" s="1"/>
  <c r="AS42" i="1"/>
  <c r="BE42" i="1" s="1"/>
  <c r="AT42" i="1"/>
  <c r="BF42" i="1" s="1"/>
  <c r="AU42" i="1"/>
  <c r="BG42" i="1" s="1"/>
  <c r="AV42" i="1"/>
  <c r="BH42" i="1" s="1"/>
  <c r="AW42" i="1"/>
  <c r="BI42" i="1" s="1"/>
  <c r="AX42" i="1"/>
  <c r="BJ42" i="1" s="1"/>
  <c r="AY42" i="1"/>
  <c r="BK42" i="1" s="1"/>
  <c r="AZ42" i="1"/>
  <c r="BL42" i="1" s="1"/>
  <c r="AR43" i="1"/>
  <c r="BD43" i="1" s="1"/>
  <c r="BM43" i="1" s="1"/>
  <c r="BN43" i="1" s="1"/>
  <c r="AS43" i="1"/>
  <c r="BE43" i="1" s="1"/>
  <c r="AT43" i="1"/>
  <c r="BF43" i="1" s="1"/>
  <c r="AU43" i="1"/>
  <c r="BG43" i="1" s="1"/>
  <c r="AV43" i="1"/>
  <c r="BH43" i="1" s="1"/>
  <c r="AW43" i="1"/>
  <c r="BI43" i="1" s="1"/>
  <c r="AX43" i="1"/>
  <c r="BJ43" i="1" s="1"/>
  <c r="AY43" i="1"/>
  <c r="BK43" i="1" s="1"/>
  <c r="AZ43" i="1"/>
  <c r="BL43" i="1" s="1"/>
  <c r="AR44" i="1"/>
  <c r="BD44" i="1" s="1"/>
  <c r="BM44" i="1" s="1"/>
  <c r="BN44" i="1" s="1"/>
  <c r="AS44" i="1"/>
  <c r="BE44" i="1" s="1"/>
  <c r="AT44" i="1"/>
  <c r="BF44" i="1" s="1"/>
  <c r="AU44" i="1"/>
  <c r="BG44" i="1" s="1"/>
  <c r="AV44" i="1"/>
  <c r="BH44" i="1" s="1"/>
  <c r="AW44" i="1"/>
  <c r="BI44" i="1" s="1"/>
  <c r="AX44" i="1"/>
  <c r="BJ44" i="1" s="1"/>
  <c r="AY44" i="1"/>
  <c r="BK44" i="1" s="1"/>
  <c r="AZ44" i="1"/>
  <c r="BL44" i="1" s="1"/>
  <c r="AR45" i="1"/>
  <c r="BD45" i="1" s="1"/>
  <c r="BM45" i="1" s="1"/>
  <c r="BN45" i="1" s="1"/>
  <c r="AS45" i="1"/>
  <c r="BE45" i="1" s="1"/>
  <c r="AT45" i="1"/>
  <c r="BF45" i="1" s="1"/>
  <c r="AU45" i="1"/>
  <c r="BG45" i="1" s="1"/>
  <c r="AV45" i="1"/>
  <c r="BH45" i="1" s="1"/>
  <c r="AW45" i="1"/>
  <c r="BI45" i="1" s="1"/>
  <c r="AX45" i="1"/>
  <c r="BJ45" i="1" s="1"/>
  <c r="AY45" i="1"/>
  <c r="BK45" i="1" s="1"/>
  <c r="AZ45" i="1"/>
  <c r="BL45" i="1" s="1"/>
  <c r="AR46" i="1"/>
  <c r="BD46" i="1" s="1"/>
  <c r="BM46" i="1" s="1"/>
  <c r="BN46" i="1" s="1"/>
  <c r="AS46" i="1"/>
  <c r="BE46" i="1" s="1"/>
  <c r="AT46" i="1"/>
  <c r="BF46" i="1" s="1"/>
  <c r="AU46" i="1"/>
  <c r="BG46" i="1" s="1"/>
  <c r="AV46" i="1"/>
  <c r="BH46" i="1" s="1"/>
  <c r="AW46" i="1"/>
  <c r="BI46" i="1" s="1"/>
  <c r="AX46" i="1"/>
  <c r="BJ46" i="1" s="1"/>
  <c r="AY46" i="1"/>
  <c r="BK46" i="1" s="1"/>
  <c r="AZ46" i="1"/>
  <c r="BL46" i="1" s="1"/>
  <c r="AR47" i="1"/>
  <c r="BD47" i="1" s="1"/>
  <c r="BM47" i="1" s="1"/>
  <c r="BN47" i="1" s="1"/>
  <c r="AS47" i="1"/>
  <c r="BE47" i="1" s="1"/>
  <c r="AU47" i="1"/>
  <c r="BG47" i="1" s="1"/>
  <c r="AV47" i="1"/>
  <c r="BH47" i="1" s="1"/>
  <c r="AW47" i="1"/>
  <c r="BI47" i="1" s="1"/>
  <c r="AX47" i="1"/>
  <c r="BJ47" i="1" s="1"/>
  <c r="AY47" i="1"/>
  <c r="BK47" i="1" s="1"/>
  <c r="AZ47" i="1"/>
  <c r="BL47" i="1" s="1"/>
  <c r="AR48" i="1"/>
  <c r="AS48" i="1"/>
  <c r="BE48" i="1" s="1"/>
  <c r="AT48" i="1"/>
  <c r="BF48" i="1" s="1"/>
  <c r="AU48" i="1"/>
  <c r="BG48" i="1" s="1"/>
  <c r="AV48" i="1"/>
  <c r="BH48" i="1" s="1"/>
  <c r="AW48" i="1"/>
  <c r="BI48" i="1" s="1"/>
  <c r="AX48" i="1"/>
  <c r="BJ48" i="1" s="1"/>
  <c r="AY48" i="1"/>
  <c r="BK48" i="1" s="1"/>
  <c r="AZ48" i="1"/>
  <c r="BL48" i="1" s="1"/>
  <c r="AR49" i="1"/>
  <c r="BD49" i="1" s="1"/>
  <c r="BM49" i="1" s="1"/>
  <c r="BN49" i="1" s="1"/>
  <c r="AS49" i="1"/>
  <c r="BE49" i="1" s="1"/>
  <c r="AT49" i="1"/>
  <c r="BF49" i="1" s="1"/>
  <c r="AU49" i="1"/>
  <c r="BG49" i="1" s="1"/>
  <c r="AV49" i="1"/>
  <c r="BH49" i="1" s="1"/>
  <c r="AW49" i="1"/>
  <c r="BI49" i="1" s="1"/>
  <c r="AX49" i="1"/>
  <c r="BJ49" i="1" s="1"/>
  <c r="AY49" i="1"/>
  <c r="BK49" i="1" s="1"/>
  <c r="AZ49" i="1"/>
  <c r="BL49" i="1" s="1"/>
  <c r="AR50" i="1"/>
  <c r="BD50" i="1" s="1"/>
  <c r="BM50" i="1" s="1"/>
  <c r="BN50" i="1" s="1"/>
  <c r="AS50" i="1"/>
  <c r="BE50" i="1" s="1"/>
  <c r="AT50" i="1"/>
  <c r="BF50" i="1" s="1"/>
  <c r="AU50" i="1"/>
  <c r="BG50" i="1" s="1"/>
  <c r="AV50" i="1"/>
  <c r="BH50" i="1" s="1"/>
  <c r="AW50" i="1"/>
  <c r="BI50" i="1" s="1"/>
  <c r="AX50" i="1"/>
  <c r="BJ50" i="1" s="1"/>
  <c r="AY50" i="1"/>
  <c r="BK50" i="1" s="1"/>
  <c r="AZ50" i="1"/>
  <c r="BL50" i="1" s="1"/>
  <c r="AR51" i="1"/>
  <c r="BD51" i="1" s="1"/>
  <c r="BM51" i="1" s="1"/>
  <c r="BN51" i="1" s="1"/>
  <c r="AS51" i="1"/>
  <c r="BE51" i="1" s="1"/>
  <c r="AT51" i="1"/>
  <c r="BF51" i="1" s="1"/>
  <c r="AU51" i="1"/>
  <c r="BG51" i="1" s="1"/>
  <c r="AV51" i="1"/>
  <c r="BH51" i="1" s="1"/>
  <c r="AW51" i="1"/>
  <c r="BI51" i="1" s="1"/>
  <c r="AX51" i="1"/>
  <c r="BJ51" i="1" s="1"/>
  <c r="AY51" i="1"/>
  <c r="BK51" i="1" s="1"/>
  <c r="AZ51" i="1"/>
  <c r="BL51" i="1" s="1"/>
  <c r="AR52" i="1"/>
  <c r="BD52" i="1" s="1"/>
  <c r="BM52" i="1" s="1"/>
  <c r="BN52" i="1" s="1"/>
  <c r="AS52" i="1"/>
  <c r="BE52" i="1" s="1"/>
  <c r="AT52" i="1"/>
  <c r="BF52" i="1" s="1"/>
  <c r="AU52" i="1"/>
  <c r="BG52" i="1" s="1"/>
  <c r="AV52" i="1"/>
  <c r="BH52" i="1" s="1"/>
  <c r="AW52" i="1"/>
  <c r="BI52" i="1" s="1"/>
  <c r="AX52" i="1"/>
  <c r="BJ52" i="1" s="1"/>
  <c r="AY52" i="1"/>
  <c r="BK52" i="1" s="1"/>
  <c r="AZ52" i="1"/>
  <c r="BL52" i="1" s="1"/>
  <c r="AR53" i="1"/>
  <c r="BD53" i="1" s="1"/>
  <c r="BM53" i="1" s="1"/>
  <c r="BN53" i="1" s="1"/>
  <c r="AS53" i="1"/>
  <c r="BE53" i="1" s="1"/>
  <c r="AT53" i="1"/>
  <c r="BF53" i="1" s="1"/>
  <c r="AU53" i="1"/>
  <c r="BG53" i="1" s="1"/>
  <c r="AV53" i="1"/>
  <c r="BH53" i="1" s="1"/>
  <c r="AW53" i="1"/>
  <c r="BI53" i="1" s="1"/>
  <c r="AX53" i="1"/>
  <c r="BJ53" i="1" s="1"/>
  <c r="AY53" i="1"/>
  <c r="BK53" i="1" s="1"/>
  <c r="AZ53" i="1"/>
  <c r="BL53" i="1" s="1"/>
  <c r="AR54" i="1"/>
  <c r="BD54" i="1" s="1"/>
  <c r="BM54" i="1" s="1"/>
  <c r="BN54" i="1" s="1"/>
  <c r="AS54" i="1"/>
  <c r="BE54" i="1" s="1"/>
  <c r="AT54" i="1"/>
  <c r="BF54" i="1" s="1"/>
  <c r="AU54" i="1"/>
  <c r="BG54" i="1" s="1"/>
  <c r="AV54" i="1"/>
  <c r="BH54" i="1" s="1"/>
  <c r="AW54" i="1"/>
  <c r="BI54" i="1" s="1"/>
  <c r="AX54" i="1"/>
  <c r="BJ54" i="1" s="1"/>
  <c r="AY54" i="1"/>
  <c r="BK54" i="1" s="1"/>
  <c r="AZ54" i="1"/>
  <c r="BL54" i="1" s="1"/>
  <c r="AR55" i="1"/>
  <c r="BD55" i="1" s="1"/>
  <c r="BM55" i="1" s="1"/>
  <c r="BN55" i="1" s="1"/>
  <c r="AS55" i="1"/>
  <c r="BE55" i="1" s="1"/>
  <c r="AT55" i="1"/>
  <c r="BF55" i="1" s="1"/>
  <c r="AU55" i="1"/>
  <c r="BG55" i="1" s="1"/>
  <c r="AV55" i="1"/>
  <c r="BH55" i="1" s="1"/>
  <c r="AW55" i="1"/>
  <c r="BI55" i="1" s="1"/>
  <c r="AX55" i="1"/>
  <c r="BJ55" i="1" s="1"/>
  <c r="AY55" i="1"/>
  <c r="BK55" i="1" s="1"/>
  <c r="AZ55" i="1"/>
  <c r="BL55" i="1" s="1"/>
  <c r="AR56" i="1"/>
  <c r="BD56" i="1" s="1"/>
  <c r="BM56" i="1" s="1"/>
  <c r="BN56" i="1" s="1"/>
  <c r="AS56" i="1"/>
  <c r="BE56" i="1" s="1"/>
  <c r="AT56" i="1"/>
  <c r="BF56" i="1" s="1"/>
  <c r="AU56" i="1"/>
  <c r="BG56" i="1" s="1"/>
  <c r="AV56" i="1"/>
  <c r="BH56" i="1" s="1"/>
  <c r="AW56" i="1"/>
  <c r="BI56" i="1" s="1"/>
  <c r="AX56" i="1"/>
  <c r="BJ56" i="1" s="1"/>
  <c r="AY56" i="1"/>
  <c r="BK56" i="1" s="1"/>
  <c r="AZ56" i="1"/>
  <c r="BL56" i="1" s="1"/>
  <c r="AR57" i="1"/>
  <c r="BD57" i="1" s="1"/>
  <c r="BM57" i="1" s="1"/>
  <c r="BN57" i="1" s="1"/>
  <c r="AS57" i="1"/>
  <c r="BE57" i="1" s="1"/>
  <c r="AT57" i="1"/>
  <c r="BF57" i="1" s="1"/>
  <c r="AU57" i="1"/>
  <c r="BG57" i="1" s="1"/>
  <c r="AV57" i="1"/>
  <c r="BH57" i="1" s="1"/>
  <c r="AW57" i="1"/>
  <c r="BI57" i="1" s="1"/>
  <c r="AX57" i="1"/>
  <c r="BJ57" i="1" s="1"/>
  <c r="AY57" i="1"/>
  <c r="BK57" i="1" s="1"/>
  <c r="AZ57" i="1"/>
  <c r="BL57" i="1" s="1"/>
  <c r="AR58" i="1"/>
  <c r="BD58" i="1" s="1"/>
  <c r="BM58" i="1" s="1"/>
  <c r="BN58" i="1" s="1"/>
  <c r="AS58" i="1"/>
  <c r="BE58" i="1" s="1"/>
  <c r="AT58" i="1"/>
  <c r="BF58" i="1" s="1"/>
  <c r="AU58" i="1"/>
  <c r="BG58" i="1" s="1"/>
  <c r="AV58" i="1"/>
  <c r="BH58" i="1" s="1"/>
  <c r="AW58" i="1"/>
  <c r="BI58" i="1" s="1"/>
  <c r="AX58" i="1"/>
  <c r="BJ58" i="1" s="1"/>
  <c r="AY58" i="1"/>
  <c r="BK58" i="1" s="1"/>
  <c r="AZ58" i="1"/>
  <c r="BL58" i="1" s="1"/>
  <c r="AR59" i="1"/>
  <c r="BD59" i="1" s="1"/>
  <c r="BM59" i="1" s="1"/>
  <c r="BN59" i="1" s="1"/>
  <c r="AS59" i="1"/>
  <c r="BE59" i="1" s="1"/>
  <c r="AT59" i="1"/>
  <c r="BF59" i="1" s="1"/>
  <c r="AU59" i="1"/>
  <c r="BG59" i="1" s="1"/>
  <c r="AV59" i="1"/>
  <c r="BH59" i="1" s="1"/>
  <c r="AW59" i="1"/>
  <c r="BI59" i="1" s="1"/>
  <c r="AX59" i="1"/>
  <c r="BJ59" i="1" s="1"/>
  <c r="AY59" i="1"/>
  <c r="BK59" i="1" s="1"/>
  <c r="AZ59" i="1"/>
  <c r="BL59" i="1" s="1"/>
  <c r="AR60" i="1"/>
  <c r="BD60" i="1" s="1"/>
  <c r="BM60" i="1" s="1"/>
  <c r="BN60" i="1" s="1"/>
  <c r="AS60" i="1"/>
  <c r="BE60" i="1" s="1"/>
  <c r="AT60" i="1"/>
  <c r="BF60" i="1" s="1"/>
  <c r="AU60" i="1"/>
  <c r="BG60" i="1" s="1"/>
  <c r="AV60" i="1"/>
  <c r="BH60" i="1" s="1"/>
  <c r="AW60" i="1"/>
  <c r="BI60" i="1" s="1"/>
  <c r="AX60" i="1"/>
  <c r="BJ60" i="1" s="1"/>
  <c r="AY60" i="1"/>
  <c r="BK60" i="1" s="1"/>
  <c r="AZ60" i="1"/>
  <c r="BL60" i="1" s="1"/>
  <c r="AR61" i="1"/>
  <c r="BD61" i="1" s="1"/>
  <c r="BM61" i="1" s="1"/>
  <c r="BN61" i="1" s="1"/>
  <c r="AS61" i="1"/>
  <c r="BE61" i="1" s="1"/>
  <c r="AT61" i="1"/>
  <c r="BF61" i="1" s="1"/>
  <c r="AU61" i="1"/>
  <c r="BG61" i="1" s="1"/>
  <c r="AV61" i="1"/>
  <c r="BH61" i="1" s="1"/>
  <c r="AW61" i="1"/>
  <c r="BI61" i="1" s="1"/>
  <c r="AX61" i="1"/>
  <c r="BJ61" i="1" s="1"/>
  <c r="AY61" i="1"/>
  <c r="BK61" i="1" s="1"/>
  <c r="AZ61" i="1"/>
  <c r="BL61" i="1" s="1"/>
  <c r="AR62" i="1"/>
  <c r="BD62" i="1" s="1"/>
  <c r="BM62" i="1" s="1"/>
  <c r="BN62" i="1" s="1"/>
  <c r="AS62" i="1"/>
  <c r="BE62" i="1" s="1"/>
  <c r="AT62" i="1"/>
  <c r="BF62" i="1" s="1"/>
  <c r="AU62" i="1"/>
  <c r="BG62" i="1" s="1"/>
  <c r="AV62" i="1"/>
  <c r="BH62" i="1" s="1"/>
  <c r="AW62" i="1"/>
  <c r="BI62" i="1" s="1"/>
  <c r="AX62" i="1"/>
  <c r="BJ62" i="1" s="1"/>
  <c r="AY62" i="1"/>
  <c r="BK62" i="1" s="1"/>
  <c r="AZ62" i="1"/>
  <c r="BL62" i="1" s="1"/>
  <c r="AR63" i="1"/>
  <c r="BD63" i="1" s="1"/>
  <c r="BM63" i="1" s="1"/>
  <c r="BN63" i="1" s="1"/>
  <c r="AS63" i="1"/>
  <c r="BE63" i="1" s="1"/>
  <c r="AT63" i="1"/>
  <c r="BF63" i="1" s="1"/>
  <c r="AU63" i="1"/>
  <c r="BG63" i="1" s="1"/>
  <c r="AV63" i="1"/>
  <c r="BH63" i="1" s="1"/>
  <c r="AW63" i="1"/>
  <c r="BI63" i="1" s="1"/>
  <c r="AX63" i="1"/>
  <c r="BJ63" i="1" s="1"/>
  <c r="AY63" i="1"/>
  <c r="BK63" i="1" s="1"/>
  <c r="AZ63" i="1"/>
  <c r="BL63" i="1" s="1"/>
  <c r="AR64" i="1"/>
  <c r="AS64" i="1"/>
  <c r="BE64" i="1" s="1"/>
  <c r="AT64" i="1"/>
  <c r="BF64" i="1" s="1"/>
  <c r="AU64" i="1"/>
  <c r="BG64" i="1" s="1"/>
  <c r="AV64" i="1"/>
  <c r="BH64" i="1" s="1"/>
  <c r="AW64" i="1"/>
  <c r="BI64" i="1" s="1"/>
  <c r="AX64" i="1"/>
  <c r="BJ64" i="1" s="1"/>
  <c r="AY64" i="1"/>
  <c r="BK64" i="1" s="1"/>
  <c r="AZ64" i="1"/>
  <c r="BL64" i="1" s="1"/>
  <c r="AR65" i="1"/>
  <c r="BD65" i="1" s="1"/>
  <c r="BM65" i="1" s="1"/>
  <c r="BN65" i="1" s="1"/>
  <c r="AS65" i="1"/>
  <c r="BE65" i="1" s="1"/>
  <c r="AT65" i="1"/>
  <c r="BF65" i="1" s="1"/>
  <c r="AU65" i="1"/>
  <c r="BG65" i="1" s="1"/>
  <c r="AV65" i="1"/>
  <c r="BH65" i="1" s="1"/>
  <c r="AW65" i="1"/>
  <c r="BI65" i="1" s="1"/>
  <c r="AX65" i="1"/>
  <c r="BJ65" i="1" s="1"/>
  <c r="AY65" i="1"/>
  <c r="BK65" i="1" s="1"/>
  <c r="AZ65" i="1"/>
  <c r="BL65" i="1" s="1"/>
  <c r="AR66" i="1"/>
  <c r="BD66" i="1" s="1"/>
  <c r="BM66" i="1" s="1"/>
  <c r="BN66" i="1" s="1"/>
  <c r="AS66" i="1"/>
  <c r="BE66" i="1" s="1"/>
  <c r="AT66" i="1"/>
  <c r="BF66" i="1" s="1"/>
  <c r="AU66" i="1"/>
  <c r="BG66" i="1" s="1"/>
  <c r="AV66" i="1"/>
  <c r="BH66" i="1" s="1"/>
  <c r="AW66" i="1"/>
  <c r="BI66" i="1" s="1"/>
  <c r="AX66" i="1"/>
  <c r="BJ66" i="1" s="1"/>
  <c r="AY66" i="1"/>
  <c r="BK66" i="1" s="1"/>
  <c r="AZ66" i="1"/>
  <c r="BL66" i="1" s="1"/>
  <c r="AR67" i="1"/>
  <c r="BD67" i="1" s="1"/>
  <c r="BM67" i="1" s="1"/>
  <c r="BN67" i="1" s="1"/>
  <c r="AS67" i="1"/>
  <c r="BE67" i="1" s="1"/>
  <c r="AT67" i="1"/>
  <c r="BF67" i="1" s="1"/>
  <c r="AU67" i="1"/>
  <c r="BG67" i="1" s="1"/>
  <c r="AV67" i="1"/>
  <c r="BH67" i="1" s="1"/>
  <c r="AW67" i="1"/>
  <c r="BI67" i="1" s="1"/>
  <c r="AX67" i="1"/>
  <c r="BJ67" i="1" s="1"/>
  <c r="AY67" i="1"/>
  <c r="BK67" i="1" s="1"/>
  <c r="AZ67" i="1"/>
  <c r="BL67" i="1" s="1"/>
  <c r="AR68" i="1"/>
  <c r="BD68" i="1" s="1"/>
  <c r="BM68" i="1" s="1"/>
  <c r="BN68" i="1" s="1"/>
  <c r="AS68" i="1"/>
  <c r="BE68" i="1" s="1"/>
  <c r="AT68" i="1"/>
  <c r="BF68" i="1" s="1"/>
  <c r="AU68" i="1"/>
  <c r="BG68" i="1" s="1"/>
  <c r="AV68" i="1"/>
  <c r="BH68" i="1" s="1"/>
  <c r="AW68" i="1"/>
  <c r="BI68" i="1" s="1"/>
  <c r="AX68" i="1"/>
  <c r="BJ68" i="1" s="1"/>
  <c r="AY68" i="1"/>
  <c r="BK68" i="1" s="1"/>
  <c r="AZ68" i="1"/>
  <c r="BL68" i="1" s="1"/>
  <c r="AR69" i="1"/>
  <c r="BD69" i="1" s="1"/>
  <c r="BM69" i="1" s="1"/>
  <c r="BN69" i="1" s="1"/>
  <c r="AS69" i="1"/>
  <c r="BE69" i="1" s="1"/>
  <c r="AT69" i="1"/>
  <c r="BF69" i="1" s="1"/>
  <c r="AU69" i="1"/>
  <c r="BG69" i="1" s="1"/>
  <c r="AV69" i="1"/>
  <c r="BH69" i="1" s="1"/>
  <c r="AW69" i="1"/>
  <c r="BI69" i="1" s="1"/>
  <c r="AX69" i="1"/>
  <c r="BJ69" i="1" s="1"/>
  <c r="AY69" i="1"/>
  <c r="BK69" i="1" s="1"/>
  <c r="AZ69" i="1"/>
  <c r="BL69" i="1" s="1"/>
  <c r="AR70" i="1"/>
  <c r="BD70" i="1" s="1"/>
  <c r="BM70" i="1" s="1"/>
  <c r="BN70" i="1" s="1"/>
  <c r="AS70" i="1"/>
  <c r="BE70" i="1" s="1"/>
  <c r="AT70" i="1"/>
  <c r="BF70" i="1" s="1"/>
  <c r="AU70" i="1"/>
  <c r="BG70" i="1" s="1"/>
  <c r="AV70" i="1"/>
  <c r="BH70" i="1" s="1"/>
  <c r="AW70" i="1"/>
  <c r="BI70" i="1" s="1"/>
  <c r="AX70" i="1"/>
  <c r="BJ70" i="1" s="1"/>
  <c r="AY70" i="1"/>
  <c r="BK70" i="1" s="1"/>
  <c r="AZ70" i="1"/>
  <c r="BL70" i="1" s="1"/>
  <c r="AR71" i="1"/>
  <c r="BD71" i="1" s="1"/>
  <c r="BM71" i="1" s="1"/>
  <c r="BN71" i="1" s="1"/>
  <c r="AS71" i="1"/>
  <c r="BE71" i="1" s="1"/>
  <c r="AT71" i="1"/>
  <c r="BF71" i="1" s="1"/>
  <c r="AU71" i="1"/>
  <c r="BG71" i="1" s="1"/>
  <c r="AV71" i="1"/>
  <c r="BH71" i="1" s="1"/>
  <c r="AW71" i="1"/>
  <c r="BI71" i="1" s="1"/>
  <c r="AX71" i="1"/>
  <c r="BJ71" i="1" s="1"/>
  <c r="AY71" i="1"/>
  <c r="BK71" i="1" s="1"/>
  <c r="AZ71" i="1"/>
  <c r="BL71" i="1" s="1"/>
  <c r="AR72" i="1"/>
  <c r="BD72" i="1" s="1"/>
  <c r="BM72" i="1" s="1"/>
  <c r="BN72" i="1" s="1"/>
  <c r="AS72" i="1"/>
  <c r="BE72" i="1" s="1"/>
  <c r="AT72" i="1"/>
  <c r="BF72" i="1" s="1"/>
  <c r="AU72" i="1"/>
  <c r="BG72" i="1" s="1"/>
  <c r="AV72" i="1"/>
  <c r="BH72" i="1" s="1"/>
  <c r="AW72" i="1"/>
  <c r="BI72" i="1" s="1"/>
  <c r="AX72" i="1"/>
  <c r="BJ72" i="1" s="1"/>
  <c r="AY72" i="1"/>
  <c r="BK72" i="1" s="1"/>
  <c r="AZ72" i="1"/>
  <c r="BL72" i="1" s="1"/>
  <c r="AR73" i="1"/>
  <c r="BD73" i="1" s="1"/>
  <c r="BM73" i="1" s="1"/>
  <c r="BN73" i="1" s="1"/>
  <c r="AS73" i="1"/>
  <c r="BE73" i="1" s="1"/>
  <c r="AT73" i="1"/>
  <c r="BF73" i="1" s="1"/>
  <c r="AU73" i="1"/>
  <c r="BG73" i="1" s="1"/>
  <c r="AV73" i="1"/>
  <c r="BH73" i="1" s="1"/>
  <c r="AW73" i="1"/>
  <c r="BI73" i="1" s="1"/>
  <c r="AX73" i="1"/>
  <c r="BJ73" i="1" s="1"/>
  <c r="AY73" i="1"/>
  <c r="BK73" i="1" s="1"/>
  <c r="AZ73" i="1"/>
  <c r="BL73" i="1" s="1"/>
  <c r="AR74" i="1"/>
  <c r="BD74" i="1" s="1"/>
  <c r="BM74" i="1" s="1"/>
  <c r="BN74" i="1" s="1"/>
  <c r="AS74" i="1"/>
  <c r="BE74" i="1" s="1"/>
  <c r="AT74" i="1"/>
  <c r="BF74" i="1" s="1"/>
  <c r="AU74" i="1"/>
  <c r="BG74" i="1" s="1"/>
  <c r="AV74" i="1"/>
  <c r="BH74" i="1" s="1"/>
  <c r="AW74" i="1"/>
  <c r="BI74" i="1" s="1"/>
  <c r="AX74" i="1"/>
  <c r="BJ74" i="1" s="1"/>
  <c r="AY74" i="1"/>
  <c r="BK74" i="1" s="1"/>
  <c r="AZ74" i="1"/>
  <c r="BL74" i="1" s="1"/>
  <c r="AR75" i="1"/>
  <c r="BD75" i="1" s="1"/>
  <c r="BM75" i="1" s="1"/>
  <c r="BN75" i="1" s="1"/>
  <c r="AS75" i="1"/>
  <c r="BE75" i="1" s="1"/>
  <c r="AT75" i="1"/>
  <c r="BF75" i="1" s="1"/>
  <c r="AU75" i="1"/>
  <c r="BG75" i="1" s="1"/>
  <c r="AV75" i="1"/>
  <c r="BH75" i="1" s="1"/>
  <c r="AW75" i="1"/>
  <c r="BI75" i="1" s="1"/>
  <c r="AX75" i="1"/>
  <c r="BJ75" i="1" s="1"/>
  <c r="AY75" i="1"/>
  <c r="BK75" i="1" s="1"/>
  <c r="AZ75" i="1"/>
  <c r="BL75" i="1" s="1"/>
  <c r="AR76" i="1"/>
  <c r="BD76" i="1" s="1"/>
  <c r="BM76" i="1" s="1"/>
  <c r="BN76" i="1" s="1"/>
  <c r="AS76" i="1"/>
  <c r="BE76" i="1" s="1"/>
  <c r="AT76" i="1"/>
  <c r="BF76" i="1" s="1"/>
  <c r="AU76" i="1"/>
  <c r="BG76" i="1" s="1"/>
  <c r="AV76" i="1"/>
  <c r="BH76" i="1" s="1"/>
  <c r="AW76" i="1"/>
  <c r="BI76" i="1" s="1"/>
  <c r="AX76" i="1"/>
  <c r="BJ76" i="1" s="1"/>
  <c r="AY76" i="1"/>
  <c r="BK76" i="1" s="1"/>
  <c r="AZ76" i="1"/>
  <c r="BL76" i="1" s="1"/>
  <c r="AR77" i="1"/>
  <c r="BD77" i="1" s="1"/>
  <c r="BM77" i="1" s="1"/>
  <c r="BN77" i="1" s="1"/>
  <c r="AS77" i="1"/>
  <c r="BE77" i="1" s="1"/>
  <c r="AT77" i="1"/>
  <c r="BF77" i="1" s="1"/>
  <c r="AU77" i="1"/>
  <c r="BG77" i="1" s="1"/>
  <c r="AV77" i="1"/>
  <c r="BH77" i="1" s="1"/>
  <c r="AW77" i="1"/>
  <c r="BI77" i="1" s="1"/>
  <c r="AX77" i="1"/>
  <c r="BJ77" i="1" s="1"/>
  <c r="AY77" i="1"/>
  <c r="BK77" i="1" s="1"/>
  <c r="AZ77" i="1"/>
  <c r="BL77" i="1" s="1"/>
  <c r="AR78" i="1"/>
  <c r="BD78" i="1" s="1"/>
  <c r="BM78" i="1" s="1"/>
  <c r="BN78" i="1" s="1"/>
  <c r="AS78" i="1"/>
  <c r="BE78" i="1" s="1"/>
  <c r="AT78" i="1"/>
  <c r="BF78" i="1" s="1"/>
  <c r="AU78" i="1"/>
  <c r="BG78" i="1" s="1"/>
  <c r="AV78" i="1"/>
  <c r="BH78" i="1" s="1"/>
  <c r="AW78" i="1"/>
  <c r="BI78" i="1" s="1"/>
  <c r="AX78" i="1"/>
  <c r="BJ78" i="1" s="1"/>
  <c r="AY78" i="1"/>
  <c r="BK78" i="1" s="1"/>
  <c r="AZ78" i="1"/>
  <c r="BL78" i="1" s="1"/>
  <c r="AR79" i="1"/>
  <c r="BD79" i="1" s="1"/>
  <c r="BM79" i="1" s="1"/>
  <c r="BN79" i="1" s="1"/>
  <c r="AS79" i="1"/>
  <c r="BE79" i="1" s="1"/>
  <c r="AT79" i="1"/>
  <c r="BF79" i="1" s="1"/>
  <c r="AU79" i="1"/>
  <c r="BG79" i="1" s="1"/>
  <c r="AV79" i="1"/>
  <c r="BH79" i="1" s="1"/>
  <c r="AW79" i="1"/>
  <c r="BI79" i="1" s="1"/>
  <c r="AX79" i="1"/>
  <c r="BJ79" i="1" s="1"/>
  <c r="AY79" i="1"/>
  <c r="BK79" i="1" s="1"/>
  <c r="AZ79" i="1"/>
  <c r="BL79" i="1" s="1"/>
  <c r="AR80" i="1"/>
  <c r="AS80" i="1"/>
  <c r="BE80" i="1" s="1"/>
  <c r="AT80" i="1"/>
  <c r="BF80" i="1" s="1"/>
  <c r="AU80" i="1"/>
  <c r="BG80" i="1" s="1"/>
  <c r="AV80" i="1"/>
  <c r="BH80" i="1" s="1"/>
  <c r="AW80" i="1"/>
  <c r="BI80" i="1" s="1"/>
  <c r="AX80" i="1"/>
  <c r="BJ80" i="1" s="1"/>
  <c r="AY80" i="1"/>
  <c r="BK80" i="1" s="1"/>
  <c r="AZ80" i="1"/>
  <c r="BL80" i="1" s="1"/>
  <c r="AR81" i="1"/>
  <c r="BD81" i="1" s="1"/>
  <c r="BM81" i="1" s="1"/>
  <c r="BN81" i="1" s="1"/>
  <c r="AS81" i="1"/>
  <c r="BE81" i="1" s="1"/>
  <c r="AT81" i="1"/>
  <c r="BF81" i="1" s="1"/>
  <c r="AU81" i="1"/>
  <c r="BG81" i="1" s="1"/>
  <c r="AV81" i="1"/>
  <c r="BH81" i="1" s="1"/>
  <c r="AW81" i="1"/>
  <c r="BI81" i="1" s="1"/>
  <c r="AX81" i="1"/>
  <c r="BJ81" i="1" s="1"/>
  <c r="AY81" i="1"/>
  <c r="BK81" i="1" s="1"/>
  <c r="AZ81" i="1"/>
  <c r="BL81" i="1" s="1"/>
  <c r="AR82" i="1"/>
  <c r="BD82" i="1" s="1"/>
  <c r="BM82" i="1" s="1"/>
  <c r="BN82" i="1" s="1"/>
  <c r="AS82" i="1"/>
  <c r="BE82" i="1" s="1"/>
  <c r="AT82" i="1"/>
  <c r="BF82" i="1" s="1"/>
  <c r="AU82" i="1"/>
  <c r="BG82" i="1" s="1"/>
  <c r="AV82" i="1"/>
  <c r="BH82" i="1" s="1"/>
  <c r="AW82" i="1"/>
  <c r="BI82" i="1" s="1"/>
  <c r="AX82" i="1"/>
  <c r="BJ82" i="1" s="1"/>
  <c r="AY82" i="1"/>
  <c r="BK82" i="1" s="1"/>
  <c r="AZ82" i="1"/>
  <c r="BL82" i="1" s="1"/>
  <c r="AR83" i="1"/>
  <c r="BD83" i="1" s="1"/>
  <c r="BM83" i="1" s="1"/>
  <c r="BN83" i="1" s="1"/>
  <c r="AS83" i="1"/>
  <c r="BE83" i="1" s="1"/>
  <c r="AT83" i="1"/>
  <c r="BF83" i="1" s="1"/>
  <c r="AU83" i="1"/>
  <c r="BG83" i="1" s="1"/>
  <c r="AV83" i="1"/>
  <c r="BH83" i="1" s="1"/>
  <c r="AW83" i="1"/>
  <c r="BI83" i="1" s="1"/>
  <c r="AX83" i="1"/>
  <c r="BJ83" i="1" s="1"/>
  <c r="AY83" i="1"/>
  <c r="BK83" i="1" s="1"/>
  <c r="AZ83" i="1"/>
  <c r="BL83" i="1" s="1"/>
  <c r="AR84" i="1"/>
  <c r="BD84" i="1" s="1"/>
  <c r="BM84" i="1" s="1"/>
  <c r="BN84" i="1" s="1"/>
  <c r="AS84" i="1"/>
  <c r="BE84" i="1" s="1"/>
  <c r="AT84" i="1"/>
  <c r="BF84" i="1" s="1"/>
  <c r="AU84" i="1"/>
  <c r="BG84" i="1" s="1"/>
  <c r="AV84" i="1"/>
  <c r="BH84" i="1" s="1"/>
  <c r="AW84" i="1"/>
  <c r="BI84" i="1" s="1"/>
  <c r="AX84" i="1"/>
  <c r="BJ84" i="1" s="1"/>
  <c r="AY84" i="1"/>
  <c r="BK84" i="1" s="1"/>
  <c r="AZ84" i="1"/>
  <c r="BL84" i="1" s="1"/>
  <c r="AR85" i="1"/>
  <c r="BD85" i="1" s="1"/>
  <c r="BM85" i="1" s="1"/>
  <c r="BN85" i="1" s="1"/>
  <c r="AS85" i="1"/>
  <c r="BE85" i="1" s="1"/>
  <c r="AT85" i="1"/>
  <c r="BF85" i="1" s="1"/>
  <c r="AU85" i="1"/>
  <c r="BG85" i="1" s="1"/>
  <c r="AV85" i="1"/>
  <c r="BH85" i="1" s="1"/>
  <c r="AW85" i="1"/>
  <c r="BI85" i="1" s="1"/>
  <c r="AX85" i="1"/>
  <c r="BJ85" i="1" s="1"/>
  <c r="AY85" i="1"/>
  <c r="BK85" i="1" s="1"/>
  <c r="AZ85" i="1"/>
  <c r="BL85" i="1" s="1"/>
  <c r="AR86" i="1"/>
  <c r="BD86" i="1" s="1"/>
  <c r="BM86" i="1" s="1"/>
  <c r="BN86" i="1" s="1"/>
  <c r="AS86" i="1"/>
  <c r="BE86" i="1" s="1"/>
  <c r="AT86" i="1"/>
  <c r="BF86" i="1" s="1"/>
  <c r="AU86" i="1"/>
  <c r="BG86" i="1" s="1"/>
  <c r="AV86" i="1"/>
  <c r="BH86" i="1" s="1"/>
  <c r="AW86" i="1"/>
  <c r="BI86" i="1" s="1"/>
  <c r="AX86" i="1"/>
  <c r="BJ86" i="1" s="1"/>
  <c r="AY86" i="1"/>
  <c r="BK86" i="1" s="1"/>
  <c r="AZ86" i="1"/>
  <c r="BL86" i="1" s="1"/>
  <c r="AR87" i="1"/>
  <c r="BD87" i="1" s="1"/>
  <c r="BM87" i="1" s="1"/>
  <c r="BN87" i="1" s="1"/>
  <c r="AS87" i="1"/>
  <c r="BE87" i="1" s="1"/>
  <c r="AT87" i="1"/>
  <c r="BF87" i="1" s="1"/>
  <c r="AU87" i="1"/>
  <c r="BG87" i="1" s="1"/>
  <c r="AV87" i="1"/>
  <c r="BH87" i="1" s="1"/>
  <c r="AW87" i="1"/>
  <c r="BI87" i="1" s="1"/>
  <c r="AX87" i="1"/>
  <c r="BJ87" i="1" s="1"/>
  <c r="AY87" i="1"/>
  <c r="BK87" i="1" s="1"/>
  <c r="AZ87" i="1"/>
  <c r="BL87" i="1" s="1"/>
  <c r="AR88" i="1"/>
  <c r="BD88" i="1" s="1"/>
  <c r="BM88" i="1" s="1"/>
  <c r="BN88" i="1" s="1"/>
  <c r="AS88" i="1"/>
  <c r="BE88" i="1" s="1"/>
  <c r="AT88" i="1"/>
  <c r="BF88" i="1" s="1"/>
  <c r="AU88" i="1"/>
  <c r="BG88" i="1" s="1"/>
  <c r="AV88" i="1"/>
  <c r="BH88" i="1" s="1"/>
  <c r="AW88" i="1"/>
  <c r="BI88" i="1" s="1"/>
  <c r="AX88" i="1"/>
  <c r="BJ88" i="1" s="1"/>
  <c r="AY88" i="1"/>
  <c r="BK88" i="1" s="1"/>
  <c r="AZ88" i="1"/>
  <c r="BL88" i="1" s="1"/>
  <c r="AR89" i="1"/>
  <c r="BD89" i="1" s="1"/>
  <c r="BM89" i="1" s="1"/>
  <c r="BN89" i="1" s="1"/>
  <c r="AS89" i="1"/>
  <c r="BE89" i="1" s="1"/>
  <c r="AT89" i="1"/>
  <c r="BF89" i="1" s="1"/>
  <c r="AU89" i="1"/>
  <c r="BG89" i="1" s="1"/>
  <c r="AV89" i="1"/>
  <c r="BH89" i="1" s="1"/>
  <c r="AW89" i="1"/>
  <c r="BI89" i="1" s="1"/>
  <c r="AX89" i="1"/>
  <c r="BJ89" i="1" s="1"/>
  <c r="AY89" i="1"/>
  <c r="BK89" i="1" s="1"/>
  <c r="AZ89" i="1"/>
  <c r="BL89" i="1" s="1"/>
  <c r="AR90" i="1"/>
  <c r="BD90" i="1" s="1"/>
  <c r="BM90" i="1" s="1"/>
  <c r="BN90" i="1" s="1"/>
  <c r="AS90" i="1"/>
  <c r="BE90" i="1" s="1"/>
  <c r="AT90" i="1"/>
  <c r="BF90" i="1" s="1"/>
  <c r="AU90" i="1"/>
  <c r="BG90" i="1" s="1"/>
  <c r="AV90" i="1"/>
  <c r="BH90" i="1" s="1"/>
  <c r="AW90" i="1"/>
  <c r="BI90" i="1" s="1"/>
  <c r="AX90" i="1"/>
  <c r="BJ90" i="1" s="1"/>
  <c r="AY90" i="1"/>
  <c r="BK90" i="1" s="1"/>
  <c r="AZ90" i="1"/>
  <c r="BL90" i="1" s="1"/>
  <c r="AR91" i="1"/>
  <c r="BD91" i="1" s="1"/>
  <c r="BM91" i="1" s="1"/>
  <c r="BN91" i="1" s="1"/>
  <c r="AS91" i="1"/>
  <c r="BE91" i="1" s="1"/>
  <c r="AT91" i="1"/>
  <c r="BF91" i="1" s="1"/>
  <c r="AU91" i="1"/>
  <c r="BG91" i="1" s="1"/>
  <c r="AV91" i="1"/>
  <c r="BH91" i="1" s="1"/>
  <c r="AW91" i="1"/>
  <c r="BI91" i="1" s="1"/>
  <c r="AX91" i="1"/>
  <c r="BJ91" i="1" s="1"/>
  <c r="AY91" i="1"/>
  <c r="BK91" i="1" s="1"/>
  <c r="AZ91" i="1"/>
  <c r="BL91" i="1" s="1"/>
  <c r="AR92" i="1"/>
  <c r="BD92" i="1" s="1"/>
  <c r="BM92" i="1" s="1"/>
  <c r="BN92" i="1" s="1"/>
  <c r="AS92" i="1"/>
  <c r="BE92" i="1" s="1"/>
  <c r="AT92" i="1"/>
  <c r="BF92" i="1" s="1"/>
  <c r="AU92" i="1"/>
  <c r="BG92" i="1" s="1"/>
  <c r="AV92" i="1"/>
  <c r="BH92" i="1" s="1"/>
  <c r="AW92" i="1"/>
  <c r="BI92" i="1" s="1"/>
  <c r="AX92" i="1"/>
  <c r="BJ92" i="1" s="1"/>
  <c r="AY92" i="1"/>
  <c r="BK92" i="1" s="1"/>
  <c r="AZ92" i="1"/>
  <c r="BL92" i="1" s="1"/>
  <c r="AR93" i="1"/>
  <c r="BD93" i="1" s="1"/>
  <c r="BM93" i="1" s="1"/>
  <c r="BN93" i="1" s="1"/>
  <c r="AS93" i="1"/>
  <c r="BE93" i="1" s="1"/>
  <c r="AT93" i="1"/>
  <c r="BF93" i="1" s="1"/>
  <c r="AU93" i="1"/>
  <c r="BG93" i="1" s="1"/>
  <c r="AV93" i="1"/>
  <c r="BH93" i="1" s="1"/>
  <c r="AW93" i="1"/>
  <c r="BI93" i="1" s="1"/>
  <c r="AX93" i="1"/>
  <c r="BJ93" i="1" s="1"/>
  <c r="AY93" i="1"/>
  <c r="BK93" i="1" s="1"/>
  <c r="AZ93" i="1"/>
  <c r="BL93" i="1" s="1"/>
  <c r="AR94" i="1"/>
  <c r="BD94" i="1" s="1"/>
  <c r="BM94" i="1" s="1"/>
  <c r="BN94" i="1" s="1"/>
  <c r="AS94" i="1"/>
  <c r="BE94" i="1" s="1"/>
  <c r="AT94" i="1"/>
  <c r="BF94" i="1" s="1"/>
  <c r="AU94" i="1"/>
  <c r="BG94" i="1" s="1"/>
  <c r="AV94" i="1"/>
  <c r="BH94" i="1" s="1"/>
  <c r="AW94" i="1"/>
  <c r="BI94" i="1" s="1"/>
  <c r="AX94" i="1"/>
  <c r="BJ94" i="1" s="1"/>
  <c r="AY94" i="1"/>
  <c r="BK94" i="1" s="1"/>
  <c r="AZ94" i="1"/>
  <c r="BL94" i="1" s="1"/>
  <c r="AR95" i="1"/>
  <c r="BD95" i="1" s="1"/>
  <c r="BM95" i="1" s="1"/>
  <c r="BN95" i="1" s="1"/>
  <c r="AS95" i="1"/>
  <c r="BE95" i="1" s="1"/>
  <c r="AT95" i="1"/>
  <c r="BF95" i="1" s="1"/>
  <c r="AU95" i="1"/>
  <c r="BG95" i="1" s="1"/>
  <c r="AV95" i="1"/>
  <c r="BH95" i="1" s="1"/>
  <c r="AW95" i="1"/>
  <c r="BI95" i="1" s="1"/>
  <c r="AX95" i="1"/>
  <c r="BJ95" i="1" s="1"/>
  <c r="AY95" i="1"/>
  <c r="BK95" i="1" s="1"/>
  <c r="AZ95" i="1"/>
  <c r="BL95" i="1" s="1"/>
  <c r="AR96" i="1"/>
  <c r="BD96" i="1" s="1"/>
  <c r="BM96" i="1" s="1"/>
  <c r="BN96" i="1" s="1"/>
  <c r="AS96" i="1"/>
  <c r="BE96" i="1" s="1"/>
  <c r="AT96" i="1"/>
  <c r="BF96" i="1" s="1"/>
  <c r="AU96" i="1"/>
  <c r="BG96" i="1" s="1"/>
  <c r="AV96" i="1"/>
  <c r="BH96" i="1" s="1"/>
  <c r="AW96" i="1"/>
  <c r="BI96" i="1" s="1"/>
  <c r="AX96" i="1"/>
  <c r="BJ96" i="1" s="1"/>
  <c r="AY96" i="1"/>
  <c r="BK96" i="1" s="1"/>
  <c r="AZ96" i="1"/>
  <c r="BL96" i="1" s="1"/>
  <c r="AR97" i="1"/>
  <c r="BD97" i="1" s="1"/>
  <c r="BM97" i="1" s="1"/>
  <c r="BN97" i="1" s="1"/>
  <c r="AS97" i="1"/>
  <c r="BE97" i="1" s="1"/>
  <c r="AT97" i="1"/>
  <c r="BF97" i="1" s="1"/>
  <c r="AU97" i="1"/>
  <c r="BG97" i="1" s="1"/>
  <c r="AV97" i="1"/>
  <c r="BH97" i="1" s="1"/>
  <c r="AW97" i="1"/>
  <c r="BI97" i="1" s="1"/>
  <c r="AX97" i="1"/>
  <c r="BJ97" i="1" s="1"/>
  <c r="AY97" i="1"/>
  <c r="BK97" i="1" s="1"/>
  <c r="AZ97" i="1"/>
  <c r="BL97" i="1" s="1"/>
  <c r="AR98" i="1"/>
  <c r="BD98" i="1" s="1"/>
  <c r="BM98" i="1" s="1"/>
  <c r="BN98" i="1" s="1"/>
  <c r="AS98" i="1"/>
  <c r="BE98" i="1" s="1"/>
  <c r="AT98" i="1"/>
  <c r="BF98" i="1" s="1"/>
  <c r="AU98" i="1"/>
  <c r="BG98" i="1" s="1"/>
  <c r="AV98" i="1"/>
  <c r="BH98" i="1" s="1"/>
  <c r="AW98" i="1"/>
  <c r="BI98" i="1" s="1"/>
  <c r="AX98" i="1"/>
  <c r="BJ98" i="1" s="1"/>
  <c r="AY98" i="1"/>
  <c r="BK98" i="1" s="1"/>
  <c r="AZ98" i="1"/>
  <c r="BL98" i="1" s="1"/>
  <c r="AR99" i="1"/>
  <c r="BD99" i="1" s="1"/>
  <c r="BM99" i="1" s="1"/>
  <c r="BN99" i="1" s="1"/>
  <c r="AS99" i="1"/>
  <c r="BE99" i="1" s="1"/>
  <c r="AT99" i="1"/>
  <c r="BF99" i="1" s="1"/>
  <c r="AU99" i="1"/>
  <c r="BG99" i="1" s="1"/>
  <c r="AV99" i="1"/>
  <c r="BH99" i="1" s="1"/>
  <c r="AW99" i="1"/>
  <c r="BI99" i="1" s="1"/>
  <c r="AX99" i="1"/>
  <c r="BJ99" i="1" s="1"/>
  <c r="AY99" i="1"/>
  <c r="BK99" i="1" s="1"/>
  <c r="AZ99" i="1"/>
  <c r="BL99" i="1" s="1"/>
  <c r="AR100" i="1"/>
  <c r="BD100" i="1" s="1"/>
  <c r="BM100" i="1" s="1"/>
  <c r="BN100" i="1" s="1"/>
  <c r="AS100" i="1"/>
  <c r="BE100" i="1" s="1"/>
  <c r="AT100" i="1"/>
  <c r="BF100" i="1" s="1"/>
  <c r="AU100" i="1"/>
  <c r="BG100" i="1" s="1"/>
  <c r="AV100" i="1"/>
  <c r="BH100" i="1" s="1"/>
  <c r="AW100" i="1"/>
  <c r="BI100" i="1" s="1"/>
  <c r="AX100" i="1"/>
  <c r="BJ100" i="1" s="1"/>
  <c r="AY100" i="1"/>
  <c r="BK100" i="1" s="1"/>
  <c r="AZ100" i="1"/>
  <c r="BL100" i="1" s="1"/>
  <c r="AR101" i="1"/>
  <c r="BD101" i="1" s="1"/>
  <c r="BM101" i="1" s="1"/>
  <c r="BN101" i="1" s="1"/>
  <c r="AS101" i="1"/>
  <c r="BE101" i="1" s="1"/>
  <c r="AT101" i="1"/>
  <c r="BF101" i="1" s="1"/>
  <c r="AU101" i="1"/>
  <c r="BG101" i="1" s="1"/>
  <c r="AV101" i="1"/>
  <c r="BH101" i="1" s="1"/>
  <c r="AW101" i="1"/>
  <c r="BI101" i="1" s="1"/>
  <c r="AX101" i="1"/>
  <c r="BJ101" i="1" s="1"/>
  <c r="AY101" i="1"/>
  <c r="BK101" i="1" s="1"/>
  <c r="AZ101" i="1"/>
  <c r="BL101" i="1" s="1"/>
  <c r="AR102" i="1"/>
  <c r="BD102" i="1" s="1"/>
  <c r="BM102" i="1" s="1"/>
  <c r="BN102" i="1" s="1"/>
  <c r="AS102" i="1"/>
  <c r="BE102" i="1" s="1"/>
  <c r="AT102" i="1"/>
  <c r="BF102" i="1" s="1"/>
  <c r="AU102" i="1"/>
  <c r="BG102" i="1" s="1"/>
  <c r="AV102" i="1"/>
  <c r="BH102" i="1" s="1"/>
  <c r="AW102" i="1"/>
  <c r="BI102" i="1" s="1"/>
  <c r="AX102" i="1"/>
  <c r="BJ102" i="1" s="1"/>
  <c r="AY102" i="1"/>
  <c r="BK102" i="1" s="1"/>
  <c r="AZ102" i="1"/>
  <c r="BL102" i="1" s="1"/>
  <c r="AR103" i="1"/>
  <c r="BD103" i="1" s="1"/>
  <c r="BM103" i="1" s="1"/>
  <c r="BN103" i="1" s="1"/>
  <c r="AS103" i="1"/>
  <c r="BE103" i="1" s="1"/>
  <c r="AT103" i="1"/>
  <c r="BF103" i="1" s="1"/>
  <c r="AU103" i="1"/>
  <c r="BG103" i="1" s="1"/>
  <c r="AV103" i="1"/>
  <c r="BH103" i="1" s="1"/>
  <c r="AW103" i="1"/>
  <c r="BI103" i="1" s="1"/>
  <c r="AX103" i="1"/>
  <c r="BJ103" i="1" s="1"/>
  <c r="AY103" i="1"/>
  <c r="BK103" i="1" s="1"/>
  <c r="AZ103" i="1"/>
  <c r="BL103" i="1" s="1"/>
  <c r="AR104" i="1"/>
  <c r="BD104" i="1" s="1"/>
  <c r="BM104" i="1" s="1"/>
  <c r="BN104" i="1" s="1"/>
  <c r="AS104" i="1"/>
  <c r="BE104" i="1" s="1"/>
  <c r="AT104" i="1"/>
  <c r="BF104" i="1" s="1"/>
  <c r="AU104" i="1"/>
  <c r="BG104" i="1" s="1"/>
  <c r="AV104" i="1"/>
  <c r="BH104" i="1" s="1"/>
  <c r="AW104" i="1"/>
  <c r="BI104" i="1" s="1"/>
  <c r="AX104" i="1"/>
  <c r="BJ104" i="1" s="1"/>
  <c r="AY104" i="1"/>
  <c r="BK104" i="1" s="1"/>
  <c r="AZ104" i="1"/>
  <c r="BL104" i="1" s="1"/>
  <c r="AR105" i="1"/>
  <c r="BD105" i="1" s="1"/>
  <c r="BM105" i="1" s="1"/>
  <c r="BN105" i="1" s="1"/>
  <c r="AS105" i="1"/>
  <c r="BE105" i="1" s="1"/>
  <c r="AT105" i="1"/>
  <c r="BF105" i="1" s="1"/>
  <c r="AU105" i="1"/>
  <c r="BG105" i="1" s="1"/>
  <c r="AV105" i="1"/>
  <c r="BH105" i="1" s="1"/>
  <c r="AW105" i="1"/>
  <c r="BI105" i="1" s="1"/>
  <c r="AX105" i="1"/>
  <c r="BJ105" i="1" s="1"/>
  <c r="AY105" i="1"/>
  <c r="BK105" i="1" s="1"/>
  <c r="AZ105" i="1"/>
  <c r="BL105" i="1" s="1"/>
  <c r="AR106" i="1"/>
  <c r="BD106" i="1" s="1"/>
  <c r="BM106" i="1" s="1"/>
  <c r="BN106" i="1" s="1"/>
  <c r="AS106" i="1"/>
  <c r="BE106" i="1" s="1"/>
  <c r="AT106" i="1"/>
  <c r="BF106" i="1" s="1"/>
  <c r="AU106" i="1"/>
  <c r="BG106" i="1" s="1"/>
  <c r="AV106" i="1"/>
  <c r="BH106" i="1" s="1"/>
  <c r="AW106" i="1"/>
  <c r="BI106" i="1" s="1"/>
  <c r="AX106" i="1"/>
  <c r="BJ106" i="1" s="1"/>
  <c r="AY106" i="1"/>
  <c r="BK106" i="1" s="1"/>
  <c r="AZ106" i="1"/>
  <c r="BL106" i="1" s="1"/>
  <c r="AR107" i="1"/>
  <c r="BD107" i="1" s="1"/>
  <c r="BM107" i="1" s="1"/>
  <c r="BN107" i="1" s="1"/>
  <c r="AS107" i="1"/>
  <c r="BE107" i="1" s="1"/>
  <c r="AT107" i="1"/>
  <c r="BF107" i="1" s="1"/>
  <c r="AU107" i="1"/>
  <c r="BG107" i="1" s="1"/>
  <c r="AV107" i="1"/>
  <c r="BH107" i="1" s="1"/>
  <c r="AW107" i="1"/>
  <c r="BI107" i="1" s="1"/>
  <c r="AX107" i="1"/>
  <c r="BJ107" i="1" s="1"/>
  <c r="AY107" i="1"/>
  <c r="BK107" i="1" s="1"/>
  <c r="AZ107" i="1"/>
  <c r="BL107" i="1" s="1"/>
  <c r="AR108" i="1"/>
  <c r="BD108" i="1" s="1"/>
  <c r="BM108" i="1" s="1"/>
  <c r="BN108" i="1" s="1"/>
  <c r="AS108" i="1"/>
  <c r="BE108" i="1" s="1"/>
  <c r="AT108" i="1"/>
  <c r="BF108" i="1" s="1"/>
  <c r="AU108" i="1"/>
  <c r="BG108" i="1" s="1"/>
  <c r="AV108" i="1"/>
  <c r="BH108" i="1" s="1"/>
  <c r="AW108" i="1"/>
  <c r="BI108" i="1" s="1"/>
  <c r="AX108" i="1"/>
  <c r="BJ108" i="1" s="1"/>
  <c r="AY108" i="1"/>
  <c r="BK108" i="1" s="1"/>
  <c r="AZ108" i="1"/>
  <c r="BL108" i="1" s="1"/>
  <c r="AR109" i="1"/>
  <c r="BD109" i="1" s="1"/>
  <c r="BM109" i="1" s="1"/>
  <c r="BN109" i="1" s="1"/>
  <c r="AS109" i="1"/>
  <c r="BE109" i="1" s="1"/>
  <c r="AT109" i="1"/>
  <c r="BF109" i="1" s="1"/>
  <c r="AU109" i="1"/>
  <c r="BG109" i="1" s="1"/>
  <c r="AV109" i="1"/>
  <c r="BH109" i="1" s="1"/>
  <c r="AW109" i="1"/>
  <c r="BI109" i="1" s="1"/>
  <c r="AX109" i="1"/>
  <c r="BJ109" i="1" s="1"/>
  <c r="AY109" i="1"/>
  <c r="BK109" i="1" s="1"/>
  <c r="AZ109" i="1"/>
  <c r="BL109" i="1" s="1"/>
  <c r="AR110" i="1"/>
  <c r="BD110" i="1" s="1"/>
  <c r="BM110" i="1" s="1"/>
  <c r="BN110" i="1" s="1"/>
  <c r="AS110" i="1"/>
  <c r="BE110" i="1" s="1"/>
  <c r="AT110" i="1"/>
  <c r="BF110" i="1" s="1"/>
  <c r="AU110" i="1"/>
  <c r="BG110" i="1" s="1"/>
  <c r="AV110" i="1"/>
  <c r="BH110" i="1" s="1"/>
  <c r="AW110" i="1"/>
  <c r="BI110" i="1" s="1"/>
  <c r="AX110" i="1"/>
  <c r="BJ110" i="1" s="1"/>
  <c r="AY110" i="1"/>
  <c r="BK110" i="1" s="1"/>
  <c r="AZ110" i="1"/>
  <c r="BL110" i="1" s="1"/>
  <c r="AR111" i="1"/>
  <c r="BD111" i="1" s="1"/>
  <c r="BM111" i="1" s="1"/>
  <c r="BN111" i="1" s="1"/>
  <c r="AS111" i="1"/>
  <c r="BE111" i="1" s="1"/>
  <c r="AT111" i="1"/>
  <c r="BF111" i="1" s="1"/>
  <c r="AU111" i="1"/>
  <c r="BG111" i="1" s="1"/>
  <c r="AV111" i="1"/>
  <c r="BH111" i="1" s="1"/>
  <c r="AW111" i="1"/>
  <c r="BI111" i="1" s="1"/>
  <c r="AX111" i="1"/>
  <c r="BJ111" i="1" s="1"/>
  <c r="AY111" i="1"/>
  <c r="BK111" i="1" s="1"/>
  <c r="AZ111" i="1"/>
  <c r="BL111" i="1" s="1"/>
  <c r="AR112" i="1"/>
  <c r="BD112" i="1" s="1"/>
  <c r="BM112" i="1" s="1"/>
  <c r="BN112" i="1" s="1"/>
  <c r="AS112" i="1"/>
  <c r="BE112" i="1" s="1"/>
  <c r="AT112" i="1"/>
  <c r="BF112" i="1" s="1"/>
  <c r="AU112" i="1"/>
  <c r="BG112" i="1" s="1"/>
  <c r="AV112" i="1"/>
  <c r="BH112" i="1" s="1"/>
  <c r="AW112" i="1"/>
  <c r="BI112" i="1" s="1"/>
  <c r="AX112" i="1"/>
  <c r="BJ112" i="1" s="1"/>
  <c r="AY112" i="1"/>
  <c r="BK112" i="1" s="1"/>
  <c r="AZ112" i="1"/>
  <c r="BL112" i="1" s="1"/>
  <c r="AR113" i="1"/>
  <c r="BD113" i="1" s="1"/>
  <c r="BM113" i="1" s="1"/>
  <c r="BN113" i="1" s="1"/>
  <c r="AS113" i="1"/>
  <c r="BE113" i="1" s="1"/>
  <c r="AT113" i="1"/>
  <c r="BF113" i="1" s="1"/>
  <c r="AU113" i="1"/>
  <c r="BG113" i="1" s="1"/>
  <c r="AV113" i="1"/>
  <c r="BH113" i="1" s="1"/>
  <c r="AW113" i="1"/>
  <c r="BI113" i="1" s="1"/>
  <c r="AX113" i="1"/>
  <c r="BJ113" i="1" s="1"/>
  <c r="AY113" i="1"/>
  <c r="BK113" i="1" s="1"/>
  <c r="AZ113" i="1"/>
  <c r="BL113" i="1" s="1"/>
  <c r="AR114" i="1"/>
  <c r="BD114" i="1" s="1"/>
  <c r="BM114" i="1" s="1"/>
  <c r="BN114" i="1" s="1"/>
  <c r="AS114" i="1"/>
  <c r="BE114" i="1" s="1"/>
  <c r="AT114" i="1"/>
  <c r="BF114" i="1" s="1"/>
  <c r="AU114" i="1"/>
  <c r="BG114" i="1" s="1"/>
  <c r="AV114" i="1"/>
  <c r="BH114" i="1" s="1"/>
  <c r="AW114" i="1"/>
  <c r="BI114" i="1" s="1"/>
  <c r="AX114" i="1"/>
  <c r="BJ114" i="1" s="1"/>
  <c r="AY114" i="1"/>
  <c r="BK114" i="1" s="1"/>
  <c r="AZ114" i="1"/>
  <c r="BL114" i="1" s="1"/>
  <c r="AR115" i="1"/>
  <c r="BD115" i="1" s="1"/>
  <c r="BM115" i="1" s="1"/>
  <c r="BN115" i="1" s="1"/>
  <c r="AS115" i="1"/>
  <c r="BE115" i="1" s="1"/>
  <c r="AT115" i="1"/>
  <c r="BF115" i="1" s="1"/>
  <c r="AU115" i="1"/>
  <c r="BG115" i="1" s="1"/>
  <c r="AV115" i="1"/>
  <c r="BH115" i="1" s="1"/>
  <c r="AW115" i="1"/>
  <c r="BI115" i="1" s="1"/>
  <c r="AX115" i="1"/>
  <c r="BJ115" i="1" s="1"/>
  <c r="AY115" i="1"/>
  <c r="BK115" i="1" s="1"/>
  <c r="AZ115" i="1"/>
  <c r="BL115" i="1" s="1"/>
  <c r="AR116" i="1"/>
  <c r="BD116" i="1" s="1"/>
  <c r="BM116" i="1" s="1"/>
  <c r="BN116" i="1" s="1"/>
  <c r="AS116" i="1"/>
  <c r="BE116" i="1" s="1"/>
  <c r="AT116" i="1"/>
  <c r="BF116" i="1" s="1"/>
  <c r="AU116" i="1"/>
  <c r="BG116" i="1" s="1"/>
  <c r="AV116" i="1"/>
  <c r="BH116" i="1" s="1"/>
  <c r="AW116" i="1"/>
  <c r="BI116" i="1" s="1"/>
  <c r="AX116" i="1"/>
  <c r="BJ116" i="1" s="1"/>
  <c r="AY116" i="1"/>
  <c r="BK116" i="1" s="1"/>
  <c r="AZ116" i="1"/>
  <c r="BL116" i="1" s="1"/>
  <c r="AR117" i="1"/>
  <c r="BD117" i="1" s="1"/>
  <c r="BM117" i="1" s="1"/>
  <c r="BN117" i="1" s="1"/>
  <c r="AS117" i="1"/>
  <c r="BE117" i="1" s="1"/>
  <c r="AT117" i="1"/>
  <c r="BF117" i="1" s="1"/>
  <c r="AU117" i="1"/>
  <c r="BG117" i="1" s="1"/>
  <c r="AV117" i="1"/>
  <c r="BH117" i="1" s="1"/>
  <c r="AW117" i="1"/>
  <c r="BI117" i="1" s="1"/>
  <c r="AX117" i="1"/>
  <c r="BJ117" i="1" s="1"/>
  <c r="AY117" i="1"/>
  <c r="BK117" i="1" s="1"/>
  <c r="AZ117" i="1"/>
  <c r="BL117" i="1" s="1"/>
  <c r="AR118" i="1"/>
  <c r="BD118" i="1" s="1"/>
  <c r="BM118" i="1" s="1"/>
  <c r="BN118" i="1" s="1"/>
  <c r="AS118" i="1"/>
  <c r="BE118" i="1" s="1"/>
  <c r="AT118" i="1"/>
  <c r="BF118" i="1" s="1"/>
  <c r="AU118" i="1"/>
  <c r="BG118" i="1" s="1"/>
  <c r="AV118" i="1"/>
  <c r="BH118" i="1" s="1"/>
  <c r="AW118" i="1"/>
  <c r="BI118" i="1" s="1"/>
  <c r="AX118" i="1"/>
  <c r="BJ118" i="1" s="1"/>
  <c r="AY118" i="1"/>
  <c r="BK118" i="1" s="1"/>
  <c r="AZ118" i="1"/>
  <c r="BL118" i="1" s="1"/>
  <c r="AR119" i="1"/>
  <c r="BD119" i="1" s="1"/>
  <c r="BM119" i="1" s="1"/>
  <c r="BN119" i="1" s="1"/>
  <c r="AS119" i="1"/>
  <c r="BE119" i="1" s="1"/>
  <c r="AT119" i="1"/>
  <c r="BF119" i="1" s="1"/>
  <c r="AU119" i="1"/>
  <c r="BG119" i="1" s="1"/>
  <c r="AV119" i="1"/>
  <c r="BH119" i="1" s="1"/>
  <c r="AW119" i="1"/>
  <c r="BI119" i="1" s="1"/>
  <c r="AX119" i="1"/>
  <c r="BJ119" i="1" s="1"/>
  <c r="AY119" i="1"/>
  <c r="BK119" i="1" s="1"/>
  <c r="AZ119" i="1"/>
  <c r="BL119" i="1" s="1"/>
  <c r="AR120" i="1"/>
  <c r="BD120" i="1" s="1"/>
  <c r="BM120" i="1" s="1"/>
  <c r="BN120" i="1" s="1"/>
  <c r="AS120" i="1"/>
  <c r="BE120" i="1" s="1"/>
  <c r="AT120" i="1"/>
  <c r="BF120" i="1" s="1"/>
  <c r="AU120" i="1"/>
  <c r="BG120" i="1" s="1"/>
  <c r="AV120" i="1"/>
  <c r="BH120" i="1" s="1"/>
  <c r="AW120" i="1"/>
  <c r="BI120" i="1" s="1"/>
  <c r="AX120" i="1"/>
  <c r="BJ120" i="1" s="1"/>
  <c r="AY120" i="1"/>
  <c r="BK120" i="1" s="1"/>
  <c r="AZ120" i="1"/>
  <c r="BL120" i="1" s="1"/>
  <c r="AR121" i="1"/>
  <c r="BD121" i="1" s="1"/>
  <c r="BM121" i="1" s="1"/>
  <c r="BN121" i="1" s="1"/>
  <c r="AS121" i="1"/>
  <c r="BE121" i="1" s="1"/>
  <c r="AT121" i="1"/>
  <c r="BF121" i="1" s="1"/>
  <c r="AU121" i="1"/>
  <c r="BG121" i="1" s="1"/>
  <c r="AV121" i="1"/>
  <c r="BH121" i="1" s="1"/>
  <c r="AW121" i="1"/>
  <c r="BI121" i="1" s="1"/>
  <c r="AX121" i="1"/>
  <c r="BJ121" i="1" s="1"/>
  <c r="AY121" i="1"/>
  <c r="BK121" i="1" s="1"/>
  <c r="AZ121" i="1"/>
  <c r="BL121" i="1" s="1"/>
  <c r="AR122" i="1"/>
  <c r="BD122" i="1" s="1"/>
  <c r="BM122" i="1" s="1"/>
  <c r="BN122" i="1" s="1"/>
  <c r="AS122" i="1"/>
  <c r="BE122" i="1" s="1"/>
  <c r="AT122" i="1"/>
  <c r="BF122" i="1" s="1"/>
  <c r="AU122" i="1"/>
  <c r="BG122" i="1" s="1"/>
  <c r="AV122" i="1"/>
  <c r="BH122" i="1" s="1"/>
  <c r="AW122" i="1"/>
  <c r="BI122" i="1" s="1"/>
  <c r="AX122" i="1"/>
  <c r="BJ122" i="1" s="1"/>
  <c r="AY122" i="1"/>
  <c r="BK122" i="1" s="1"/>
  <c r="AZ122" i="1"/>
  <c r="BL122" i="1" s="1"/>
  <c r="AR123" i="1"/>
  <c r="BD123" i="1" s="1"/>
  <c r="BM123" i="1" s="1"/>
  <c r="BN123" i="1" s="1"/>
  <c r="AS123" i="1"/>
  <c r="BE123" i="1" s="1"/>
  <c r="AT123" i="1"/>
  <c r="BF123" i="1" s="1"/>
  <c r="AU123" i="1"/>
  <c r="BG123" i="1" s="1"/>
  <c r="AV123" i="1"/>
  <c r="BH123" i="1" s="1"/>
  <c r="AW123" i="1"/>
  <c r="BI123" i="1" s="1"/>
  <c r="AX123" i="1"/>
  <c r="BJ123" i="1" s="1"/>
  <c r="AY123" i="1"/>
  <c r="BK123" i="1" s="1"/>
  <c r="AZ123" i="1"/>
  <c r="BL123" i="1" s="1"/>
  <c r="AR124" i="1"/>
  <c r="BD124" i="1" s="1"/>
  <c r="BM124" i="1" s="1"/>
  <c r="BN124" i="1" s="1"/>
  <c r="AS124" i="1"/>
  <c r="BE124" i="1" s="1"/>
  <c r="AT124" i="1"/>
  <c r="BF124" i="1" s="1"/>
  <c r="AU124" i="1"/>
  <c r="BG124" i="1" s="1"/>
  <c r="AV124" i="1"/>
  <c r="BH124" i="1" s="1"/>
  <c r="AW124" i="1"/>
  <c r="BI124" i="1" s="1"/>
  <c r="AX124" i="1"/>
  <c r="BJ124" i="1" s="1"/>
  <c r="AY124" i="1"/>
  <c r="BK124" i="1" s="1"/>
  <c r="AZ124" i="1"/>
  <c r="BL124" i="1" s="1"/>
  <c r="AR125" i="1"/>
  <c r="BD125" i="1" s="1"/>
  <c r="BM125" i="1" s="1"/>
  <c r="BN125" i="1" s="1"/>
  <c r="AS125" i="1"/>
  <c r="BE125" i="1" s="1"/>
  <c r="AT125" i="1"/>
  <c r="BF125" i="1" s="1"/>
  <c r="AU125" i="1"/>
  <c r="BG125" i="1" s="1"/>
  <c r="AV125" i="1"/>
  <c r="BH125" i="1" s="1"/>
  <c r="AW125" i="1"/>
  <c r="BI125" i="1" s="1"/>
  <c r="AX125" i="1"/>
  <c r="BJ125" i="1" s="1"/>
  <c r="AY125" i="1"/>
  <c r="BK125" i="1" s="1"/>
  <c r="AZ125" i="1"/>
  <c r="BL125" i="1" s="1"/>
  <c r="AR126" i="1"/>
  <c r="BD126" i="1" s="1"/>
  <c r="BM126" i="1" s="1"/>
  <c r="BN126" i="1" s="1"/>
  <c r="AS126" i="1"/>
  <c r="BE126" i="1" s="1"/>
  <c r="AT126" i="1"/>
  <c r="BF126" i="1" s="1"/>
  <c r="AU126" i="1"/>
  <c r="BG126" i="1" s="1"/>
  <c r="AV126" i="1"/>
  <c r="BH126" i="1" s="1"/>
  <c r="AW126" i="1"/>
  <c r="BI126" i="1" s="1"/>
  <c r="AX126" i="1"/>
  <c r="BJ126" i="1" s="1"/>
  <c r="AY126" i="1"/>
  <c r="BK126" i="1" s="1"/>
  <c r="AZ126" i="1"/>
  <c r="BL126" i="1" s="1"/>
  <c r="AR127" i="1"/>
  <c r="BD127" i="1" s="1"/>
  <c r="BM127" i="1" s="1"/>
  <c r="BN127" i="1" s="1"/>
  <c r="AS127" i="1"/>
  <c r="BE127" i="1" s="1"/>
  <c r="AT127" i="1"/>
  <c r="BF127" i="1" s="1"/>
  <c r="AU127" i="1"/>
  <c r="BG127" i="1" s="1"/>
  <c r="AV127" i="1"/>
  <c r="BH127" i="1" s="1"/>
  <c r="AW127" i="1"/>
  <c r="BI127" i="1" s="1"/>
  <c r="AX127" i="1"/>
  <c r="BJ127" i="1" s="1"/>
  <c r="AY127" i="1"/>
  <c r="BK127" i="1" s="1"/>
  <c r="AZ127" i="1"/>
  <c r="BL127" i="1" s="1"/>
  <c r="AR128" i="1"/>
  <c r="BD128" i="1" s="1"/>
  <c r="BM128" i="1" s="1"/>
  <c r="BN128" i="1" s="1"/>
  <c r="AS128" i="1"/>
  <c r="BE128" i="1" s="1"/>
  <c r="AT128" i="1"/>
  <c r="BF128" i="1" s="1"/>
  <c r="AU128" i="1"/>
  <c r="BG128" i="1" s="1"/>
  <c r="AV128" i="1"/>
  <c r="BH128" i="1" s="1"/>
  <c r="AW128" i="1"/>
  <c r="BI128" i="1" s="1"/>
  <c r="AX128" i="1"/>
  <c r="BJ128" i="1" s="1"/>
  <c r="AY128" i="1"/>
  <c r="BK128" i="1" s="1"/>
  <c r="AZ128" i="1"/>
  <c r="BL128" i="1" s="1"/>
  <c r="AR129" i="1"/>
  <c r="BD129" i="1" s="1"/>
  <c r="BM129" i="1" s="1"/>
  <c r="BN129" i="1" s="1"/>
  <c r="AS129" i="1"/>
  <c r="BE129" i="1" s="1"/>
  <c r="AT129" i="1"/>
  <c r="BF129" i="1" s="1"/>
  <c r="AU129" i="1"/>
  <c r="BG129" i="1" s="1"/>
  <c r="AV129" i="1"/>
  <c r="BH129" i="1" s="1"/>
  <c r="AW129" i="1"/>
  <c r="BI129" i="1" s="1"/>
  <c r="AX129" i="1"/>
  <c r="BJ129" i="1" s="1"/>
  <c r="AY129" i="1"/>
  <c r="BK129" i="1" s="1"/>
  <c r="AZ129" i="1"/>
  <c r="BL129" i="1" s="1"/>
  <c r="AR130" i="1"/>
  <c r="BD130" i="1" s="1"/>
  <c r="BM130" i="1" s="1"/>
  <c r="BN130" i="1" s="1"/>
  <c r="AS130" i="1"/>
  <c r="BE130" i="1" s="1"/>
  <c r="AT130" i="1"/>
  <c r="BF130" i="1" s="1"/>
  <c r="AU130" i="1"/>
  <c r="BG130" i="1" s="1"/>
  <c r="AV130" i="1"/>
  <c r="BH130" i="1" s="1"/>
  <c r="AW130" i="1"/>
  <c r="BI130" i="1" s="1"/>
  <c r="AX130" i="1"/>
  <c r="BJ130" i="1" s="1"/>
  <c r="AY130" i="1"/>
  <c r="BK130" i="1" s="1"/>
  <c r="AZ130" i="1"/>
  <c r="BL130" i="1" s="1"/>
  <c r="AR131" i="1"/>
  <c r="BD131" i="1" s="1"/>
  <c r="BM131" i="1" s="1"/>
  <c r="BN131" i="1" s="1"/>
  <c r="AS131" i="1"/>
  <c r="BE131" i="1" s="1"/>
  <c r="AT131" i="1"/>
  <c r="BF131" i="1" s="1"/>
  <c r="AU131" i="1"/>
  <c r="BG131" i="1" s="1"/>
  <c r="AV131" i="1"/>
  <c r="BH131" i="1" s="1"/>
  <c r="AW131" i="1"/>
  <c r="BI131" i="1" s="1"/>
  <c r="AX131" i="1"/>
  <c r="BJ131" i="1" s="1"/>
  <c r="AY131" i="1"/>
  <c r="BK131" i="1" s="1"/>
  <c r="AZ131" i="1"/>
  <c r="BL131" i="1" s="1"/>
  <c r="AR132" i="1"/>
  <c r="BD132" i="1" s="1"/>
  <c r="BM132" i="1" s="1"/>
  <c r="BN132" i="1" s="1"/>
  <c r="AS132" i="1"/>
  <c r="BE132" i="1" s="1"/>
  <c r="AT132" i="1"/>
  <c r="BF132" i="1" s="1"/>
  <c r="AU132" i="1"/>
  <c r="BG132" i="1" s="1"/>
  <c r="AV132" i="1"/>
  <c r="BH132" i="1" s="1"/>
  <c r="AW132" i="1"/>
  <c r="BI132" i="1" s="1"/>
  <c r="AX132" i="1"/>
  <c r="BJ132" i="1" s="1"/>
  <c r="AY132" i="1"/>
  <c r="BK132" i="1" s="1"/>
  <c r="AZ132" i="1"/>
  <c r="BL132" i="1" s="1"/>
  <c r="AR133" i="1"/>
  <c r="BD133" i="1" s="1"/>
  <c r="BM133" i="1" s="1"/>
  <c r="BN133" i="1" s="1"/>
  <c r="AS133" i="1"/>
  <c r="BE133" i="1" s="1"/>
  <c r="AT133" i="1"/>
  <c r="BF133" i="1" s="1"/>
  <c r="AU133" i="1"/>
  <c r="BG133" i="1" s="1"/>
  <c r="AV133" i="1"/>
  <c r="BH133" i="1" s="1"/>
  <c r="AW133" i="1"/>
  <c r="BI133" i="1" s="1"/>
  <c r="AX133" i="1"/>
  <c r="BJ133" i="1" s="1"/>
  <c r="AY133" i="1"/>
  <c r="BK133" i="1" s="1"/>
  <c r="AZ133" i="1"/>
  <c r="BL133" i="1" s="1"/>
  <c r="AR134" i="1"/>
  <c r="BD134" i="1" s="1"/>
  <c r="BM134" i="1" s="1"/>
  <c r="BN134" i="1" s="1"/>
  <c r="AS134" i="1"/>
  <c r="BE134" i="1" s="1"/>
  <c r="AT134" i="1"/>
  <c r="BF134" i="1" s="1"/>
  <c r="AU134" i="1"/>
  <c r="BG134" i="1" s="1"/>
  <c r="AV134" i="1"/>
  <c r="BH134" i="1" s="1"/>
  <c r="AW134" i="1"/>
  <c r="BI134" i="1" s="1"/>
  <c r="AX134" i="1"/>
  <c r="BJ134" i="1" s="1"/>
  <c r="AY134" i="1"/>
  <c r="BK134" i="1" s="1"/>
  <c r="AZ134" i="1"/>
  <c r="BL134" i="1" s="1"/>
  <c r="AR135" i="1"/>
  <c r="BD135" i="1" s="1"/>
  <c r="BM135" i="1" s="1"/>
  <c r="BN135" i="1" s="1"/>
  <c r="AS135" i="1"/>
  <c r="BE135" i="1" s="1"/>
  <c r="AT135" i="1"/>
  <c r="BF135" i="1" s="1"/>
  <c r="AU135" i="1"/>
  <c r="BG135" i="1" s="1"/>
  <c r="AV135" i="1"/>
  <c r="BH135" i="1" s="1"/>
  <c r="AW135" i="1"/>
  <c r="BI135" i="1" s="1"/>
  <c r="AX135" i="1"/>
  <c r="BJ135" i="1" s="1"/>
  <c r="AY135" i="1"/>
  <c r="BK135" i="1" s="1"/>
  <c r="AZ135" i="1"/>
  <c r="BL135" i="1" s="1"/>
  <c r="AR136" i="1"/>
  <c r="BD136" i="1" s="1"/>
  <c r="BM136" i="1" s="1"/>
  <c r="BN136" i="1" s="1"/>
  <c r="AS136" i="1"/>
  <c r="BE136" i="1" s="1"/>
  <c r="AT136" i="1"/>
  <c r="BF136" i="1" s="1"/>
  <c r="AU136" i="1"/>
  <c r="BG136" i="1" s="1"/>
  <c r="AV136" i="1"/>
  <c r="BH136" i="1" s="1"/>
  <c r="AW136" i="1"/>
  <c r="BI136" i="1" s="1"/>
  <c r="AX136" i="1"/>
  <c r="BJ136" i="1" s="1"/>
  <c r="AY136" i="1"/>
  <c r="BK136" i="1" s="1"/>
  <c r="AZ136" i="1"/>
  <c r="BL136" i="1" s="1"/>
  <c r="AR137" i="1"/>
  <c r="BD137" i="1" s="1"/>
  <c r="BM137" i="1" s="1"/>
  <c r="BN137" i="1" s="1"/>
  <c r="AS137" i="1"/>
  <c r="BE137" i="1" s="1"/>
  <c r="AT137" i="1"/>
  <c r="BF137" i="1" s="1"/>
  <c r="AU137" i="1"/>
  <c r="BG137" i="1" s="1"/>
  <c r="AV137" i="1"/>
  <c r="BH137" i="1" s="1"/>
  <c r="AW137" i="1"/>
  <c r="BI137" i="1" s="1"/>
  <c r="AX137" i="1"/>
  <c r="BJ137" i="1" s="1"/>
  <c r="AY137" i="1"/>
  <c r="BK137" i="1" s="1"/>
  <c r="AZ137" i="1"/>
  <c r="BL137" i="1" s="1"/>
  <c r="AR138" i="1"/>
  <c r="BD138" i="1" s="1"/>
  <c r="BM138" i="1" s="1"/>
  <c r="BN138" i="1" s="1"/>
  <c r="AS138" i="1"/>
  <c r="BE138" i="1" s="1"/>
  <c r="AT138" i="1"/>
  <c r="BF138" i="1" s="1"/>
  <c r="AU138" i="1"/>
  <c r="BG138" i="1" s="1"/>
  <c r="AV138" i="1"/>
  <c r="BH138" i="1" s="1"/>
  <c r="AW138" i="1"/>
  <c r="BI138" i="1" s="1"/>
  <c r="AX138" i="1"/>
  <c r="BJ138" i="1" s="1"/>
  <c r="AY138" i="1"/>
  <c r="BK138" i="1" s="1"/>
  <c r="AZ138" i="1"/>
  <c r="BL138" i="1" s="1"/>
  <c r="AR139" i="1"/>
  <c r="BD139" i="1" s="1"/>
  <c r="BM139" i="1" s="1"/>
  <c r="BN139" i="1" s="1"/>
  <c r="AS139" i="1"/>
  <c r="BE139" i="1" s="1"/>
  <c r="AT139" i="1"/>
  <c r="BF139" i="1" s="1"/>
  <c r="AU139" i="1"/>
  <c r="BG139" i="1" s="1"/>
  <c r="AV139" i="1"/>
  <c r="BH139" i="1" s="1"/>
  <c r="AW139" i="1"/>
  <c r="BI139" i="1" s="1"/>
  <c r="AX139" i="1"/>
  <c r="BJ139" i="1" s="1"/>
  <c r="AY139" i="1"/>
  <c r="BK139" i="1" s="1"/>
  <c r="AZ139" i="1"/>
  <c r="BL139" i="1" s="1"/>
  <c r="AR140" i="1"/>
  <c r="BD140" i="1" s="1"/>
  <c r="BM140" i="1" s="1"/>
  <c r="BN140" i="1" s="1"/>
  <c r="AS140" i="1"/>
  <c r="BE140" i="1" s="1"/>
  <c r="AT140" i="1"/>
  <c r="BF140" i="1" s="1"/>
  <c r="AU140" i="1"/>
  <c r="BG140" i="1" s="1"/>
  <c r="AV140" i="1"/>
  <c r="BH140" i="1" s="1"/>
  <c r="AW140" i="1"/>
  <c r="BI140" i="1" s="1"/>
  <c r="AX140" i="1"/>
  <c r="BJ140" i="1" s="1"/>
  <c r="AY140" i="1"/>
  <c r="BK140" i="1" s="1"/>
  <c r="AZ140" i="1"/>
  <c r="BL140" i="1" s="1"/>
  <c r="AR141" i="1"/>
  <c r="BD141" i="1" s="1"/>
  <c r="BM141" i="1" s="1"/>
  <c r="BN141" i="1" s="1"/>
  <c r="AS141" i="1"/>
  <c r="BE141" i="1" s="1"/>
  <c r="AT141" i="1"/>
  <c r="BF141" i="1" s="1"/>
  <c r="AU141" i="1"/>
  <c r="BG141" i="1" s="1"/>
  <c r="AV141" i="1"/>
  <c r="BH141" i="1" s="1"/>
  <c r="AW141" i="1"/>
  <c r="BI141" i="1" s="1"/>
  <c r="AX141" i="1"/>
  <c r="BJ141" i="1" s="1"/>
  <c r="AY141" i="1"/>
  <c r="BK141" i="1" s="1"/>
  <c r="AZ141" i="1"/>
  <c r="BL141" i="1" s="1"/>
  <c r="AR142" i="1"/>
  <c r="BD142" i="1" s="1"/>
  <c r="BM142" i="1" s="1"/>
  <c r="BN142" i="1" s="1"/>
  <c r="AS142" i="1"/>
  <c r="BE142" i="1" s="1"/>
  <c r="AT142" i="1"/>
  <c r="BF142" i="1" s="1"/>
  <c r="AU142" i="1"/>
  <c r="BG142" i="1" s="1"/>
  <c r="AV142" i="1"/>
  <c r="BH142" i="1" s="1"/>
  <c r="AW142" i="1"/>
  <c r="BI142" i="1" s="1"/>
  <c r="AX142" i="1"/>
  <c r="BJ142" i="1" s="1"/>
  <c r="AY142" i="1"/>
  <c r="BK142" i="1" s="1"/>
  <c r="AZ142" i="1"/>
  <c r="BL142" i="1" s="1"/>
  <c r="AR143" i="1"/>
  <c r="BD143" i="1" s="1"/>
  <c r="BM143" i="1" s="1"/>
  <c r="BN143" i="1" s="1"/>
  <c r="AS143" i="1"/>
  <c r="BE143" i="1" s="1"/>
  <c r="AT143" i="1"/>
  <c r="BF143" i="1" s="1"/>
  <c r="AU143" i="1"/>
  <c r="BG143" i="1" s="1"/>
  <c r="AV143" i="1"/>
  <c r="BH143" i="1" s="1"/>
  <c r="AW143" i="1"/>
  <c r="BI143" i="1" s="1"/>
  <c r="AX143" i="1"/>
  <c r="BJ143" i="1" s="1"/>
  <c r="AY143" i="1"/>
  <c r="BK143" i="1" s="1"/>
  <c r="AZ143" i="1"/>
  <c r="BL143" i="1" s="1"/>
  <c r="AR144" i="1"/>
  <c r="BD144" i="1" s="1"/>
  <c r="BM144" i="1" s="1"/>
  <c r="BN144" i="1" s="1"/>
  <c r="AS144" i="1"/>
  <c r="BE144" i="1" s="1"/>
  <c r="AT144" i="1"/>
  <c r="BF144" i="1" s="1"/>
  <c r="AU144" i="1"/>
  <c r="BG144" i="1" s="1"/>
  <c r="AV144" i="1"/>
  <c r="BH144" i="1" s="1"/>
  <c r="AW144" i="1"/>
  <c r="BI144" i="1" s="1"/>
  <c r="AX144" i="1"/>
  <c r="BJ144" i="1" s="1"/>
  <c r="AY144" i="1"/>
  <c r="BK144" i="1" s="1"/>
  <c r="AZ144" i="1"/>
  <c r="BL144" i="1" s="1"/>
  <c r="AR145" i="1"/>
  <c r="BD145" i="1" s="1"/>
  <c r="BM145" i="1" s="1"/>
  <c r="BN145" i="1" s="1"/>
  <c r="AS145" i="1"/>
  <c r="BE145" i="1" s="1"/>
  <c r="AT145" i="1"/>
  <c r="BF145" i="1" s="1"/>
  <c r="AU145" i="1"/>
  <c r="BG145" i="1" s="1"/>
  <c r="AV145" i="1"/>
  <c r="BH145" i="1" s="1"/>
  <c r="AW145" i="1"/>
  <c r="BI145" i="1" s="1"/>
  <c r="AX145" i="1"/>
  <c r="BJ145" i="1" s="1"/>
  <c r="AY145" i="1"/>
  <c r="BK145" i="1" s="1"/>
  <c r="AZ145" i="1"/>
  <c r="BL145" i="1" s="1"/>
  <c r="AR146" i="1"/>
  <c r="BD146" i="1" s="1"/>
  <c r="BM146" i="1" s="1"/>
  <c r="BN146" i="1" s="1"/>
  <c r="AS146" i="1"/>
  <c r="BE146" i="1" s="1"/>
  <c r="AT146" i="1"/>
  <c r="BF146" i="1" s="1"/>
  <c r="AU146" i="1"/>
  <c r="BG146" i="1" s="1"/>
  <c r="AV146" i="1"/>
  <c r="BH146" i="1" s="1"/>
  <c r="AW146" i="1"/>
  <c r="BI146" i="1" s="1"/>
  <c r="AX146" i="1"/>
  <c r="BJ146" i="1" s="1"/>
  <c r="AY146" i="1"/>
  <c r="BK146" i="1" s="1"/>
  <c r="AZ146" i="1"/>
  <c r="BL146" i="1" s="1"/>
  <c r="AR147" i="1"/>
  <c r="BD147" i="1" s="1"/>
  <c r="BM147" i="1" s="1"/>
  <c r="BN147" i="1" s="1"/>
  <c r="AS147" i="1"/>
  <c r="BE147" i="1" s="1"/>
  <c r="AT147" i="1"/>
  <c r="BF147" i="1" s="1"/>
  <c r="AU147" i="1"/>
  <c r="BG147" i="1" s="1"/>
  <c r="AV147" i="1"/>
  <c r="BH147" i="1" s="1"/>
  <c r="AW147" i="1"/>
  <c r="BI147" i="1" s="1"/>
  <c r="AX147" i="1"/>
  <c r="BJ147" i="1" s="1"/>
  <c r="AY147" i="1"/>
  <c r="BK147" i="1" s="1"/>
  <c r="AZ147" i="1"/>
  <c r="BL147" i="1" s="1"/>
  <c r="AR148" i="1"/>
  <c r="BD148" i="1" s="1"/>
  <c r="BM148" i="1" s="1"/>
  <c r="BN148" i="1" s="1"/>
  <c r="AS148" i="1"/>
  <c r="BE148" i="1" s="1"/>
  <c r="AT148" i="1"/>
  <c r="BF148" i="1" s="1"/>
  <c r="AU148" i="1"/>
  <c r="BG148" i="1" s="1"/>
  <c r="AV148" i="1"/>
  <c r="BH148" i="1" s="1"/>
  <c r="AW148" i="1"/>
  <c r="BI148" i="1" s="1"/>
  <c r="AX148" i="1"/>
  <c r="BJ148" i="1" s="1"/>
  <c r="AY148" i="1"/>
  <c r="BK148" i="1" s="1"/>
  <c r="AZ148" i="1"/>
  <c r="BL148" i="1" s="1"/>
  <c r="AR149" i="1"/>
  <c r="BD149" i="1" s="1"/>
  <c r="BM149" i="1" s="1"/>
  <c r="BN149" i="1" s="1"/>
  <c r="AS149" i="1"/>
  <c r="BE149" i="1" s="1"/>
  <c r="AT149" i="1"/>
  <c r="BF149" i="1" s="1"/>
  <c r="AU149" i="1"/>
  <c r="BG149" i="1" s="1"/>
  <c r="AV149" i="1"/>
  <c r="BH149" i="1" s="1"/>
  <c r="AW149" i="1"/>
  <c r="BI149" i="1" s="1"/>
  <c r="AX149" i="1"/>
  <c r="BJ149" i="1" s="1"/>
  <c r="AY149" i="1"/>
  <c r="BK149" i="1" s="1"/>
  <c r="AZ149" i="1"/>
  <c r="BL149" i="1" s="1"/>
  <c r="AR150" i="1"/>
  <c r="BD150" i="1" s="1"/>
  <c r="BM150" i="1" s="1"/>
  <c r="BN150" i="1" s="1"/>
  <c r="AS150" i="1"/>
  <c r="BE150" i="1" s="1"/>
  <c r="AT150" i="1"/>
  <c r="BF150" i="1" s="1"/>
  <c r="AU150" i="1"/>
  <c r="BG150" i="1" s="1"/>
  <c r="AV150" i="1"/>
  <c r="BH150" i="1" s="1"/>
  <c r="AW150" i="1"/>
  <c r="BI150" i="1" s="1"/>
  <c r="AX150" i="1"/>
  <c r="BJ150" i="1" s="1"/>
  <c r="AY150" i="1"/>
  <c r="BK150" i="1" s="1"/>
  <c r="AZ150" i="1"/>
  <c r="BL150" i="1" s="1"/>
  <c r="AR151" i="1"/>
  <c r="BD151" i="1" s="1"/>
  <c r="BM151" i="1" s="1"/>
  <c r="BN151" i="1" s="1"/>
  <c r="AS151" i="1"/>
  <c r="BE151" i="1" s="1"/>
  <c r="AT151" i="1"/>
  <c r="BF151" i="1" s="1"/>
  <c r="AU151" i="1"/>
  <c r="BG151" i="1" s="1"/>
  <c r="AV151" i="1"/>
  <c r="BH151" i="1" s="1"/>
  <c r="AW151" i="1"/>
  <c r="BI151" i="1" s="1"/>
  <c r="AX151" i="1"/>
  <c r="BJ151" i="1" s="1"/>
  <c r="AY151" i="1"/>
  <c r="BK151" i="1" s="1"/>
  <c r="AZ151" i="1"/>
  <c r="BL151" i="1" s="1"/>
  <c r="AR152" i="1"/>
  <c r="BD152" i="1" s="1"/>
  <c r="BM152" i="1" s="1"/>
  <c r="BN152" i="1" s="1"/>
  <c r="AS152" i="1"/>
  <c r="BE152" i="1" s="1"/>
  <c r="AT152" i="1"/>
  <c r="BF152" i="1" s="1"/>
  <c r="AU152" i="1"/>
  <c r="BG152" i="1" s="1"/>
  <c r="AV152" i="1"/>
  <c r="BH152" i="1" s="1"/>
  <c r="AW152" i="1"/>
  <c r="BI152" i="1" s="1"/>
  <c r="AX152" i="1"/>
  <c r="BJ152" i="1" s="1"/>
  <c r="AY152" i="1"/>
  <c r="BK152" i="1" s="1"/>
  <c r="AZ152" i="1"/>
  <c r="BL152" i="1" s="1"/>
  <c r="AR153" i="1"/>
  <c r="BD153" i="1" s="1"/>
  <c r="BM153" i="1" s="1"/>
  <c r="BN153" i="1" s="1"/>
  <c r="AS153" i="1"/>
  <c r="BE153" i="1" s="1"/>
  <c r="AT153" i="1"/>
  <c r="BF153" i="1" s="1"/>
  <c r="AU153" i="1"/>
  <c r="BG153" i="1" s="1"/>
  <c r="AV153" i="1"/>
  <c r="BH153" i="1" s="1"/>
  <c r="AW153" i="1"/>
  <c r="BI153" i="1" s="1"/>
  <c r="AX153" i="1"/>
  <c r="BJ153" i="1" s="1"/>
  <c r="AY153" i="1"/>
  <c r="BK153" i="1" s="1"/>
  <c r="AZ153" i="1"/>
  <c r="BL153" i="1" s="1"/>
  <c r="AR154" i="1"/>
  <c r="BD154" i="1" s="1"/>
  <c r="BM154" i="1" s="1"/>
  <c r="BN154" i="1" s="1"/>
  <c r="AS154" i="1"/>
  <c r="BE154" i="1" s="1"/>
  <c r="AT154" i="1"/>
  <c r="BF154" i="1" s="1"/>
  <c r="AU154" i="1"/>
  <c r="BG154" i="1" s="1"/>
  <c r="AV154" i="1"/>
  <c r="BH154" i="1" s="1"/>
  <c r="AW154" i="1"/>
  <c r="BI154" i="1" s="1"/>
  <c r="AX154" i="1"/>
  <c r="BJ154" i="1" s="1"/>
  <c r="AY154" i="1"/>
  <c r="BK154" i="1" s="1"/>
  <c r="AZ154" i="1"/>
  <c r="BL154" i="1" s="1"/>
  <c r="AR155" i="1"/>
  <c r="BD155" i="1" s="1"/>
  <c r="BM155" i="1" s="1"/>
  <c r="BN155" i="1" s="1"/>
  <c r="AS155" i="1"/>
  <c r="BE155" i="1" s="1"/>
  <c r="AT155" i="1"/>
  <c r="BF155" i="1" s="1"/>
  <c r="AU155" i="1"/>
  <c r="BG155" i="1" s="1"/>
  <c r="AV155" i="1"/>
  <c r="BH155" i="1" s="1"/>
  <c r="AW155" i="1"/>
  <c r="BI155" i="1" s="1"/>
  <c r="AX155" i="1"/>
  <c r="BJ155" i="1" s="1"/>
  <c r="AY155" i="1"/>
  <c r="BK155" i="1" s="1"/>
  <c r="AZ155" i="1"/>
  <c r="BL155" i="1" s="1"/>
  <c r="AR156" i="1"/>
  <c r="BD156" i="1" s="1"/>
  <c r="BM156" i="1" s="1"/>
  <c r="BN156" i="1" s="1"/>
  <c r="AS156" i="1"/>
  <c r="BE156" i="1" s="1"/>
  <c r="AT156" i="1"/>
  <c r="BF156" i="1" s="1"/>
  <c r="AU156" i="1"/>
  <c r="BG156" i="1" s="1"/>
  <c r="AV156" i="1"/>
  <c r="BH156" i="1" s="1"/>
  <c r="AW156" i="1"/>
  <c r="BI156" i="1" s="1"/>
  <c r="AX156" i="1"/>
  <c r="BJ156" i="1" s="1"/>
  <c r="AY156" i="1"/>
  <c r="BK156" i="1" s="1"/>
  <c r="AZ156" i="1"/>
  <c r="BL156" i="1" s="1"/>
  <c r="AR157" i="1"/>
  <c r="BD157" i="1" s="1"/>
  <c r="BM157" i="1" s="1"/>
  <c r="BN157" i="1" s="1"/>
  <c r="AS157" i="1"/>
  <c r="BE157" i="1" s="1"/>
  <c r="AT157" i="1"/>
  <c r="BF157" i="1" s="1"/>
  <c r="AU157" i="1"/>
  <c r="BG157" i="1" s="1"/>
  <c r="AV157" i="1"/>
  <c r="BH157" i="1" s="1"/>
  <c r="AW157" i="1"/>
  <c r="BI157" i="1" s="1"/>
  <c r="AX157" i="1"/>
  <c r="BJ157" i="1" s="1"/>
  <c r="AY157" i="1"/>
  <c r="BK157" i="1" s="1"/>
  <c r="AZ157" i="1"/>
  <c r="BL157" i="1" s="1"/>
  <c r="AR158" i="1"/>
  <c r="BD158" i="1" s="1"/>
  <c r="BM158" i="1" s="1"/>
  <c r="BN158" i="1" s="1"/>
  <c r="AS158" i="1"/>
  <c r="BE158" i="1" s="1"/>
  <c r="AT158" i="1"/>
  <c r="BF158" i="1" s="1"/>
  <c r="AU158" i="1"/>
  <c r="BG158" i="1" s="1"/>
  <c r="AV158" i="1"/>
  <c r="BH158" i="1" s="1"/>
  <c r="AW158" i="1"/>
  <c r="BI158" i="1" s="1"/>
  <c r="AX158" i="1"/>
  <c r="BJ158" i="1" s="1"/>
  <c r="AY158" i="1"/>
  <c r="BK158" i="1" s="1"/>
  <c r="AZ158" i="1"/>
  <c r="BL158" i="1" s="1"/>
  <c r="AR159" i="1"/>
  <c r="BD159" i="1" s="1"/>
  <c r="BM159" i="1" s="1"/>
  <c r="BN159" i="1" s="1"/>
  <c r="AS159" i="1"/>
  <c r="BE159" i="1" s="1"/>
  <c r="AT159" i="1"/>
  <c r="BF159" i="1" s="1"/>
  <c r="AU159" i="1"/>
  <c r="BG159" i="1" s="1"/>
  <c r="AV159" i="1"/>
  <c r="BH159" i="1" s="1"/>
  <c r="AW159" i="1"/>
  <c r="BI159" i="1" s="1"/>
  <c r="AX159" i="1"/>
  <c r="BJ159" i="1" s="1"/>
  <c r="AY159" i="1"/>
  <c r="BK159" i="1" s="1"/>
  <c r="AZ159" i="1"/>
  <c r="BL159" i="1" s="1"/>
  <c r="AR160" i="1"/>
  <c r="BD160" i="1" s="1"/>
  <c r="BM160" i="1" s="1"/>
  <c r="BN160" i="1" s="1"/>
  <c r="AS160" i="1"/>
  <c r="BE160" i="1" s="1"/>
  <c r="AT160" i="1"/>
  <c r="BF160" i="1" s="1"/>
  <c r="AU160" i="1"/>
  <c r="BG160" i="1" s="1"/>
  <c r="AV160" i="1"/>
  <c r="BH160" i="1" s="1"/>
  <c r="AW160" i="1"/>
  <c r="BI160" i="1" s="1"/>
  <c r="AX160" i="1"/>
  <c r="BJ160" i="1" s="1"/>
  <c r="AY160" i="1"/>
  <c r="BK160" i="1" s="1"/>
  <c r="AZ160" i="1"/>
  <c r="BL160" i="1" s="1"/>
  <c r="AS2" i="1"/>
  <c r="BE2" i="1" s="1"/>
  <c r="AT2" i="1"/>
  <c r="BF2" i="1" s="1"/>
  <c r="AU2" i="1"/>
  <c r="BG2" i="1" s="1"/>
  <c r="AV2" i="1"/>
  <c r="BH2" i="1" s="1"/>
  <c r="AW2" i="1"/>
  <c r="BI2" i="1" s="1"/>
  <c r="AX2" i="1"/>
  <c r="BJ2" i="1" s="1"/>
  <c r="AY2" i="1"/>
  <c r="BK2" i="1" s="1"/>
  <c r="AZ2" i="1"/>
  <c r="BL2" i="1" s="1"/>
  <c r="AR2" i="1"/>
  <c r="BD2" i="1" s="1"/>
  <c r="BM2" i="1" s="1"/>
  <c r="BN2" i="1" s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</calcChain>
</file>

<file path=xl/sharedStrings.xml><?xml version="1.0" encoding="utf-8"?>
<sst xmlns="http://schemas.openxmlformats.org/spreadsheetml/2006/main" count="1902" uniqueCount="550">
  <si>
    <t>No.</t>
    <phoneticPr fontId="2" type="noConversion"/>
  </si>
  <si>
    <t>나이</t>
    <phoneticPr fontId="2" type="noConversion"/>
  </si>
  <si>
    <t>성별</t>
    <phoneticPr fontId="2" type="noConversion"/>
  </si>
  <si>
    <t>GS-017-H</t>
    <phoneticPr fontId="2" type="noConversion"/>
  </si>
  <si>
    <t>남</t>
    <phoneticPr fontId="2" type="noConversion"/>
  </si>
  <si>
    <t>GS-028-H</t>
    <phoneticPr fontId="2" type="noConversion"/>
  </si>
  <si>
    <t>여</t>
    <phoneticPr fontId="2" type="noConversion"/>
  </si>
  <si>
    <t>GS-060-H</t>
    <phoneticPr fontId="2" type="noConversion"/>
  </si>
  <si>
    <t>GS-065-H</t>
    <phoneticPr fontId="2" type="noConversion"/>
  </si>
  <si>
    <t>GS-114-H</t>
    <phoneticPr fontId="2" type="noConversion"/>
  </si>
  <si>
    <t>이름</t>
    <phoneticPr fontId="2" type="noConversion"/>
  </si>
  <si>
    <t>등록번호</t>
    <phoneticPr fontId="2" type="noConversion"/>
  </si>
  <si>
    <t>11040952SER02101</t>
    <phoneticPr fontId="2" type="noConversion"/>
  </si>
  <si>
    <t>조석향</t>
    <phoneticPr fontId="2" type="noConversion"/>
  </si>
  <si>
    <t>00472393</t>
    <phoneticPr fontId="2" type="noConversion"/>
  </si>
  <si>
    <t>11667571SER03101</t>
    <phoneticPr fontId="2" type="noConversion"/>
  </si>
  <si>
    <t>송금숙</t>
    <phoneticPr fontId="2" type="noConversion"/>
  </si>
  <si>
    <t>70102639</t>
    <phoneticPr fontId="2" type="noConversion"/>
  </si>
  <si>
    <t>11745275SER03101</t>
    <phoneticPr fontId="2" type="noConversion"/>
  </si>
  <si>
    <t>오강선</t>
    <phoneticPr fontId="2" type="noConversion"/>
  </si>
  <si>
    <t>00037509</t>
    <phoneticPr fontId="2" type="noConversion"/>
  </si>
  <si>
    <t>11377117SER02101</t>
    <phoneticPr fontId="2" type="noConversion"/>
  </si>
  <si>
    <t>문필남</t>
    <phoneticPr fontId="2" type="noConversion"/>
  </si>
  <si>
    <t>00829081</t>
    <phoneticPr fontId="2" type="noConversion"/>
  </si>
  <si>
    <t>11560179SER03101</t>
    <phoneticPr fontId="2" type="noConversion"/>
  </si>
  <si>
    <t>이점연</t>
    <phoneticPr fontId="2" type="noConversion"/>
  </si>
  <si>
    <t>00668764</t>
    <phoneticPr fontId="2" type="noConversion"/>
  </si>
  <si>
    <t>질환</t>
    <phoneticPr fontId="2" type="noConversion"/>
  </si>
  <si>
    <t>MMSE (30점 만점)</t>
    <phoneticPr fontId="2" type="noConversion"/>
  </si>
  <si>
    <t>GDS</t>
    <phoneticPr fontId="2" type="noConversion"/>
  </si>
  <si>
    <t>학력 (16)</t>
    <phoneticPr fontId="2" type="noConversion"/>
  </si>
  <si>
    <t>AD</t>
    <phoneticPr fontId="2" type="noConversion"/>
  </si>
  <si>
    <t>AD</t>
  </si>
  <si>
    <t>AIB 번호</t>
    <phoneticPr fontId="2" type="noConversion"/>
  </si>
  <si>
    <t>AD1</t>
    <phoneticPr fontId="2" type="noConversion"/>
  </si>
  <si>
    <t>AD3</t>
  </si>
  <si>
    <t>AD4</t>
  </si>
  <si>
    <t>AD5</t>
  </si>
  <si>
    <t>AD2</t>
  </si>
  <si>
    <t>C1</t>
    <phoneticPr fontId="2" type="noConversion"/>
  </si>
  <si>
    <t>C2</t>
  </si>
  <si>
    <t>C3</t>
  </si>
  <si>
    <t>C4</t>
  </si>
  <si>
    <t>C5</t>
  </si>
  <si>
    <t>수령날짜</t>
    <phoneticPr fontId="2" type="noConversion"/>
  </si>
  <si>
    <t>25.04.18</t>
    <phoneticPr fontId="2" type="noConversion"/>
  </si>
  <si>
    <t>농도 (ng/ul)</t>
  </si>
  <si>
    <t>25.06.23</t>
  </si>
  <si>
    <t>25.06.23</t>
    <phoneticPr fontId="2" type="noConversion"/>
  </si>
  <si>
    <t>11646152SER04101</t>
    <phoneticPr fontId="2" type="noConversion"/>
  </si>
  <si>
    <t>서정순</t>
    <phoneticPr fontId="2" type="noConversion"/>
  </si>
  <si>
    <t>11050395SER01101</t>
    <phoneticPr fontId="2" type="noConversion"/>
  </si>
  <si>
    <t>김봉금</t>
    <phoneticPr fontId="2" type="noConversion"/>
  </si>
  <si>
    <t>11658548SER03101</t>
    <phoneticPr fontId="2" type="noConversion"/>
  </si>
  <si>
    <t>신상점</t>
    <phoneticPr fontId="2" type="noConversion"/>
  </si>
  <si>
    <t>11282794SER01101</t>
    <phoneticPr fontId="2" type="noConversion"/>
  </si>
  <si>
    <t>김동순</t>
    <phoneticPr fontId="2" type="noConversion"/>
  </si>
  <si>
    <t>11260289SER01101</t>
    <phoneticPr fontId="2" type="noConversion"/>
  </si>
  <si>
    <t>최복례</t>
    <phoneticPr fontId="2" type="noConversion"/>
  </si>
  <si>
    <t>AD6</t>
    <phoneticPr fontId="2" type="noConversion"/>
  </si>
  <si>
    <t>AD7</t>
  </si>
  <si>
    <t>AD8</t>
  </si>
  <si>
    <t>AD9</t>
  </si>
  <si>
    <t>AD10</t>
  </si>
  <si>
    <t>C6</t>
    <phoneticPr fontId="2" type="noConversion"/>
  </si>
  <si>
    <t>GS-001-H</t>
    <phoneticPr fontId="2" type="noConversion"/>
  </si>
  <si>
    <t>CTL</t>
    <phoneticPr fontId="2" type="noConversion"/>
  </si>
  <si>
    <t>C7</t>
  </si>
  <si>
    <t>GS-123-H</t>
    <phoneticPr fontId="2" type="noConversion"/>
  </si>
  <si>
    <t>C8</t>
  </si>
  <si>
    <t>GS-148-H</t>
    <phoneticPr fontId="2" type="noConversion"/>
  </si>
  <si>
    <t>C9</t>
  </si>
  <si>
    <t>GS-191-H</t>
    <phoneticPr fontId="2" type="noConversion"/>
  </si>
  <si>
    <t>C10</t>
  </si>
  <si>
    <t>GS-268-H</t>
    <phoneticPr fontId="2" type="noConversion"/>
  </si>
  <si>
    <t>MCI1</t>
    <phoneticPr fontId="2" type="noConversion"/>
  </si>
  <si>
    <t>GS-174-D</t>
  </si>
  <si>
    <t>D(MCI)</t>
  </si>
  <si>
    <t>남</t>
  </si>
  <si>
    <t>MCI2</t>
  </si>
  <si>
    <t>GS-198-P</t>
  </si>
  <si>
    <t>D(SCD)</t>
  </si>
  <si>
    <t>여</t>
  </si>
  <si>
    <t>MCI3</t>
  </si>
  <si>
    <t>GS-237-D</t>
  </si>
  <si>
    <t>MCI4</t>
  </si>
  <si>
    <t>GS-239-D</t>
  </si>
  <si>
    <t>MCI5</t>
  </si>
  <si>
    <t>GS-257-D</t>
  </si>
  <si>
    <t>757.5 2</t>
  </si>
  <si>
    <t>575.0 3</t>
  </si>
  <si>
    <t>542.5 4</t>
  </si>
  <si>
    <t>507.5 5</t>
  </si>
  <si>
    <t>460.0 6</t>
  </si>
  <si>
    <t>1050.0 7</t>
  </si>
  <si>
    <t>697.5 8</t>
  </si>
  <si>
    <t>982.5 9</t>
  </si>
  <si>
    <t>657.5 10</t>
  </si>
  <si>
    <t>A260/280</t>
  </si>
  <si>
    <t>A260/230</t>
  </si>
  <si>
    <t>752.5 11</t>
  </si>
  <si>
    <t>707.5 12</t>
  </si>
  <si>
    <t>482.5 13</t>
  </si>
  <si>
    <t>527.5 14</t>
  </si>
  <si>
    <t>595.0 15</t>
  </si>
  <si>
    <t>465.0 16</t>
  </si>
  <si>
    <t>822.5 17</t>
  </si>
  <si>
    <t>920.0 18</t>
  </si>
  <si>
    <t>827.5 19</t>
  </si>
  <si>
    <t>1197.5 20</t>
  </si>
  <si>
    <t>917.5 21</t>
  </si>
  <si>
    <t>682.5 22</t>
  </si>
  <si>
    <t>892.5 23</t>
  </si>
  <si>
    <t>880.0 24</t>
  </si>
  <si>
    <t>817.5 25</t>
  </si>
  <si>
    <t xml:space="preserve">Vol. (㎕) </t>
    <phoneticPr fontId="2" type="noConversion"/>
  </si>
  <si>
    <t>Amount (ng)</t>
    <phoneticPr fontId="2" type="noConversion"/>
  </si>
  <si>
    <t>11201385SER02101</t>
  </si>
  <si>
    <t>F</t>
  </si>
  <si>
    <t>11559313SER03101</t>
  </si>
  <si>
    <t>11371600SER03101</t>
  </si>
  <si>
    <t>11603989SER02101</t>
  </si>
  <si>
    <t>11204855SER02101</t>
  </si>
  <si>
    <t>11336606SER02101</t>
  </si>
  <si>
    <t>11635320SER02101</t>
  </si>
  <si>
    <t>11373559SER02101</t>
  </si>
  <si>
    <t>11070734SER03101</t>
  </si>
  <si>
    <t>11532140SER07101</t>
  </si>
  <si>
    <t>11359215SER03101</t>
  </si>
  <si>
    <t>11487438SER14101</t>
  </si>
  <si>
    <t>11269238SER03101</t>
  </si>
  <si>
    <t>11411060SER01101</t>
  </si>
  <si>
    <t>11368701SER02101</t>
  </si>
  <si>
    <t>11381413SER01101</t>
  </si>
  <si>
    <t>11770154SER02101</t>
  </si>
  <si>
    <t>11371515SER03101</t>
  </si>
  <si>
    <t>11525841SER05101</t>
  </si>
  <si>
    <t>11493724SER03101</t>
  </si>
  <si>
    <t>11300142SER03101</t>
  </si>
  <si>
    <t>11678057SER06101</t>
  </si>
  <si>
    <t>11135444SER01101</t>
  </si>
  <si>
    <t>11144662SER18101</t>
  </si>
  <si>
    <t>11794307SER01101</t>
  </si>
  <si>
    <t>11646554SER02101</t>
  </si>
  <si>
    <t>11526302SER13101</t>
  </si>
  <si>
    <t>11636205SER03101</t>
  </si>
  <si>
    <t>11300869SER01101</t>
  </si>
  <si>
    <t>11747144SER01101</t>
  </si>
  <si>
    <t>11679401SER01101</t>
  </si>
  <si>
    <t>11404238SER02101</t>
  </si>
  <si>
    <t>11315502SER01101</t>
  </si>
  <si>
    <t>11446098SER01101</t>
  </si>
  <si>
    <t>11498856SER01101</t>
  </si>
  <si>
    <t>11114932SER03101</t>
  </si>
  <si>
    <t>11415310SER01101</t>
  </si>
  <si>
    <t>11415310SER02101</t>
  </si>
  <si>
    <t>11137210SER01101</t>
  </si>
  <si>
    <t>11400941SER03101</t>
  </si>
  <si>
    <t>11400941SER02101</t>
  </si>
  <si>
    <t>11079540SER01101</t>
  </si>
  <si>
    <t>11700684SER01101</t>
  </si>
  <si>
    <t>11700684SER03101</t>
  </si>
  <si>
    <t>11340122SER01101</t>
  </si>
  <si>
    <t>11340122SER02101</t>
  </si>
  <si>
    <t>11164291SER02101</t>
  </si>
  <si>
    <t>11164291SER04101</t>
  </si>
  <si>
    <t>11558397SER02101</t>
  </si>
  <si>
    <t>11157369SER01101</t>
  </si>
  <si>
    <t>11015833SER01101</t>
  </si>
  <si>
    <t>11574724SER01101</t>
  </si>
  <si>
    <t>11574724SER02101</t>
  </si>
  <si>
    <t>11566499SER10101</t>
  </si>
  <si>
    <t>11566499SER11101</t>
  </si>
  <si>
    <t>11210345SER02101</t>
  </si>
  <si>
    <t>11210345SER03101</t>
  </si>
  <si>
    <t>11269404SER01101</t>
  </si>
  <si>
    <t>11269404SER02101</t>
  </si>
  <si>
    <t>11428253SER01101</t>
  </si>
  <si>
    <t>11428253SER02101</t>
  </si>
  <si>
    <t>11723059SER04101</t>
  </si>
  <si>
    <t>11733704SER02101</t>
  </si>
  <si>
    <t xml:space="preserve">AD </t>
  </si>
  <si>
    <t>11733704SER03101</t>
  </si>
  <si>
    <t>11672186SER03101</t>
  </si>
  <si>
    <t>M</t>
  </si>
  <si>
    <t>11198512SER02101</t>
  </si>
  <si>
    <t>11482326SER03101</t>
  </si>
  <si>
    <t>11371241SER03101</t>
  </si>
  <si>
    <t>11335454SER03101</t>
  </si>
  <si>
    <t>11335454SER04101</t>
  </si>
  <si>
    <t>11257700SER04101</t>
  </si>
  <si>
    <t>11257700SER01101</t>
  </si>
  <si>
    <t>11745275SER06101</t>
  </si>
  <si>
    <t>11282794SER02101</t>
  </si>
  <si>
    <t>11040952SER08101</t>
  </si>
  <si>
    <t>11260289SER07101</t>
  </si>
  <si>
    <t>11560179SER15101</t>
  </si>
  <si>
    <t>11658548SER05101</t>
  </si>
  <si>
    <t>11646152SER17101</t>
  </si>
  <si>
    <t>11377117SER03101</t>
  </si>
  <si>
    <t>11667571SER05101</t>
  </si>
  <si>
    <t>11301554SER07101</t>
  </si>
  <si>
    <t>11726120SER03101</t>
  </si>
  <si>
    <t>11381622SER11101</t>
  </si>
  <si>
    <t>11602845SER02101</t>
  </si>
  <si>
    <t>11603112SER15101</t>
  </si>
  <si>
    <t>11263262SER02101</t>
  </si>
  <si>
    <t>11285010SER02101</t>
  </si>
  <si>
    <t>11186892SER33101</t>
  </si>
  <si>
    <t>11287689SER01101</t>
  </si>
  <si>
    <t>11511905SER08101</t>
  </si>
  <si>
    <t>11012637SER06101</t>
  </si>
  <si>
    <t>11689739SER01101</t>
  </si>
  <si>
    <t>11389360SER01101</t>
  </si>
  <si>
    <t>11023368SER08101</t>
  </si>
  <si>
    <t>11545062SER01101</t>
  </si>
  <si>
    <t>11298826SER03101</t>
  </si>
  <si>
    <t>11370951SER02101</t>
  </si>
  <si>
    <t>11082111SER02101</t>
  </si>
  <si>
    <t>11082111SER03101</t>
  </si>
  <si>
    <t>11100809SER01101</t>
  </si>
  <si>
    <t>11100809SER02101</t>
  </si>
  <si>
    <t>11700192SER01101</t>
  </si>
  <si>
    <t>11491234SER01101</t>
  </si>
  <si>
    <t>1A</t>
  </si>
  <si>
    <t>GS-001-H</t>
  </si>
  <si>
    <t>CTL</t>
  </si>
  <si>
    <t>2A</t>
  </si>
  <si>
    <t>GS-012-H</t>
  </si>
  <si>
    <t>3A</t>
  </si>
  <si>
    <t>GS-123-H</t>
  </si>
  <si>
    <t>4A</t>
  </si>
  <si>
    <t>GS-148-H</t>
  </si>
  <si>
    <t>5A</t>
  </si>
  <si>
    <t>GS-191-H</t>
  </si>
  <si>
    <t>6A</t>
  </si>
  <si>
    <t>GS-268-H</t>
  </si>
  <si>
    <t>7A</t>
  </si>
  <si>
    <t>GS-271-H</t>
  </si>
  <si>
    <t>68</t>
  </si>
  <si>
    <t>2023-08-29</t>
  </si>
  <si>
    <t>7B</t>
  </si>
  <si>
    <t>8A</t>
  </si>
  <si>
    <t>GS-273-H</t>
  </si>
  <si>
    <t>61</t>
  </si>
  <si>
    <t>2023-09-06</t>
  </si>
  <si>
    <t>8B</t>
  </si>
  <si>
    <t>9A</t>
  </si>
  <si>
    <t>GS-274-H</t>
  </si>
  <si>
    <t>9B</t>
  </si>
  <si>
    <t>GS-090-D</t>
  </si>
  <si>
    <t>MCI</t>
  </si>
  <si>
    <t>1B</t>
  </si>
  <si>
    <t>2022-09-05</t>
  </si>
  <si>
    <t>2022-09-21</t>
  </si>
  <si>
    <t>75</t>
  </si>
  <si>
    <t>2023-04-17</t>
  </si>
  <si>
    <t>GS-261-D</t>
  </si>
  <si>
    <t>71</t>
  </si>
  <si>
    <t>2023-06-13</t>
  </si>
  <si>
    <t>GS-263-D</t>
  </si>
  <si>
    <t>59</t>
  </si>
  <si>
    <t>2023-07-11</t>
  </si>
  <si>
    <t>GS-265-D</t>
  </si>
  <si>
    <t>76</t>
  </si>
  <si>
    <t>2023-07-12</t>
  </si>
  <si>
    <t>1D</t>
  </si>
  <si>
    <t>GS-266-D</t>
  </si>
  <si>
    <t>73</t>
  </si>
  <si>
    <t>2023-07-31</t>
  </si>
  <si>
    <t>1E</t>
  </si>
  <si>
    <t>2D</t>
  </si>
  <si>
    <t>GS-272-D</t>
  </si>
  <si>
    <t>66</t>
  </si>
  <si>
    <t>2023-08-09</t>
  </si>
  <si>
    <t>2E</t>
  </si>
  <si>
    <t>25.09.08</t>
  </si>
  <si>
    <t>25.09.08</t>
    <phoneticPr fontId="2" type="noConversion"/>
  </si>
  <si>
    <t>경상대 넘버링</t>
    <phoneticPr fontId="2" type="noConversion"/>
  </si>
  <si>
    <t>SYNJ1(99)</t>
    <phoneticPr fontId="2" type="noConversion"/>
  </si>
  <si>
    <t>HOOK3(94)</t>
    <phoneticPr fontId="2" type="noConversion"/>
  </si>
  <si>
    <t>gene MAP1A</t>
    <phoneticPr fontId="2" type="noConversion"/>
  </si>
  <si>
    <t>gene SHANK1</t>
    <phoneticPr fontId="2" type="noConversion"/>
  </si>
  <si>
    <t>miR-25-3p</t>
    <phoneticPr fontId="2" type="noConversion"/>
  </si>
  <si>
    <t>Aibiotics_6</t>
    <phoneticPr fontId="2" type="noConversion"/>
  </si>
  <si>
    <t>Aibiotics_7</t>
    <phoneticPr fontId="2" type="noConversion"/>
  </si>
  <si>
    <t>Aibiotics_8</t>
    <phoneticPr fontId="2" type="noConversion"/>
  </si>
  <si>
    <t>Aibiotics_10</t>
    <phoneticPr fontId="2" type="noConversion"/>
  </si>
  <si>
    <t>Aibiotics_11</t>
    <phoneticPr fontId="2" type="noConversion"/>
  </si>
  <si>
    <t>경상대 코드</t>
    <phoneticPr fontId="2" type="noConversion"/>
  </si>
  <si>
    <t>AD_0004_F_SD_20200227</t>
  </si>
  <si>
    <t>AD_0005_F_SD_20200922</t>
  </si>
  <si>
    <t>AD_0006_F_SD_20190611</t>
  </si>
  <si>
    <t>AD_0008_F_SD_20190807</t>
  </si>
  <si>
    <t>AD_0012_F_SD_20201005</t>
  </si>
  <si>
    <t>AD_0013_F_SD_20191029</t>
  </si>
  <si>
    <t>AD_0014_F_SD_20210112</t>
  </si>
  <si>
    <t>AD_0015_F_SD_20190812</t>
  </si>
  <si>
    <t>AD_0017_F_SD_20190508</t>
  </si>
  <si>
    <t>AD_0019_F_SD_20190730</t>
  </si>
  <si>
    <t>AD_0020_F_SD_20190625</t>
  </si>
  <si>
    <t>AD_0021_F_SD_20210406</t>
  </si>
  <si>
    <t>AD_0023_F_SD_20190813</t>
  </si>
  <si>
    <t>AD_0024_F_SD_20200908</t>
  </si>
  <si>
    <t>AD_0026_F_SD_20201216</t>
  </si>
  <si>
    <t>AD_0027_F_SD_20191106</t>
  </si>
  <si>
    <t>AD_0029_F_SD_20190123</t>
  </si>
  <si>
    <t>AD_0032_F_SD_20210212</t>
  </si>
  <si>
    <t>AD_0033_F_SD_20201111</t>
  </si>
  <si>
    <t>AD_0034_F_SD_20201130</t>
  </si>
  <si>
    <t>AD_0037_F_SD_20201102</t>
  </si>
  <si>
    <t>AD_0038_F_SD_20200417</t>
  </si>
  <si>
    <t>AD_0039_F_SD_20200907</t>
  </si>
  <si>
    <t>AD_0041_F_SD_20201028</t>
  </si>
  <si>
    <t>AD_0043_F_SD_20200909</t>
  </si>
  <si>
    <t>AD_0044_F_SD_20210111</t>
  </si>
  <si>
    <t>AD_0045_F_SD_20191024</t>
  </si>
  <si>
    <t>AD_0046_F_SD_20201104</t>
  </si>
  <si>
    <t>AD_0047_F_SD_20201130</t>
  </si>
  <si>
    <t>AD_0048_F_SD_20190918</t>
  </si>
  <si>
    <t>AD_0049_F_SD_20201125</t>
  </si>
  <si>
    <t>AD_0053_F_SD_20191204</t>
  </si>
  <si>
    <t>AD_0055_F_SD_20200824</t>
  </si>
  <si>
    <t>AD_0056_F_SD_20210316</t>
  </si>
  <si>
    <t>AD_0060_F_SD_20200914</t>
  </si>
  <si>
    <t>AD_0064_F_SD_20190710</t>
  </si>
  <si>
    <t>AD_0070_F_SD_20200916</t>
  </si>
  <si>
    <t>AD_0070_F_SD_20201007</t>
  </si>
  <si>
    <t>AD_0071_F_SD_20210324</t>
  </si>
  <si>
    <t>AD_0072_F_SD_20201123</t>
  </si>
  <si>
    <t>AD_0072_F_SD_000000</t>
  </si>
  <si>
    <t>AD_0073_F_SD_20201104</t>
  </si>
  <si>
    <t>AD_0074_F_SD_20190306</t>
  </si>
  <si>
    <t>AD_0074_F_SD_000000</t>
  </si>
  <si>
    <t>AD_0075_F_SD_20200915</t>
  </si>
  <si>
    <t>AD_0078_F_SD_20190909</t>
  </si>
  <si>
    <t>AD_0078_F_SD_20190930</t>
  </si>
  <si>
    <t>AD_0079_F_SD_20191104</t>
  </si>
  <si>
    <t>AD_0080_F_SD_20201201</t>
  </si>
  <si>
    <t>AD_0082_F_SD_20200921</t>
  </si>
  <si>
    <t>AD_0083_F_SD_20201007</t>
  </si>
  <si>
    <t>AD_0084_F_SD_20200908</t>
  </si>
  <si>
    <t>AD_0085_F_SD_20201118</t>
  </si>
  <si>
    <t>AD_0087_F_SD_20191204</t>
  </si>
  <si>
    <t>AD_0087_F_SD_000000</t>
  </si>
  <si>
    <t>AD_0088_F_SD_20200907</t>
  </si>
  <si>
    <t>AD_0088_F_SD_20201001</t>
  </si>
  <si>
    <t>AD_0089_F_SD_20190701</t>
  </si>
  <si>
    <t>AD _0091_F_SD_20210223</t>
  </si>
  <si>
    <t>AD_0105_M_SD_20200908</t>
  </si>
  <si>
    <t>AD_0106_M_SD_20201020</t>
  </si>
  <si>
    <t>AD_0107_F_SD_20190911</t>
  </si>
  <si>
    <t>AD_0108_M_SD_20201124</t>
  </si>
  <si>
    <t>AD_0110_F_SD_20190605</t>
  </si>
  <si>
    <t>AD_0110_F_SD_20190721</t>
  </si>
  <si>
    <t>AD_0111_M_SD_20190807</t>
  </si>
  <si>
    <t>AD_0062_F_SD_000000</t>
  </si>
  <si>
    <t>AD_0068_F_SD_000000</t>
  </si>
  <si>
    <t>AD_0051_F_SD_000000</t>
  </si>
  <si>
    <t>AD_0069_F_SD_000000</t>
  </si>
  <si>
    <t>AD_0067_F_SD_000000</t>
  </si>
  <si>
    <t>AD_0066_F_SD_20210304</t>
  </si>
  <si>
    <t>AD_0059_F_SD_20210326</t>
  </si>
  <si>
    <t>AD_0063_F_SD_000000</t>
  </si>
  <si>
    <t>AD_0054_F_SD_000000</t>
  </si>
  <si>
    <t>AD_0007_M_SD_20190522</t>
  </si>
  <si>
    <t>AD_0009_M_SD_20190424</t>
  </si>
  <si>
    <t>AD_0010_M_SD_20191106</t>
  </si>
  <si>
    <t>AD_0011_M_SD_20200706</t>
  </si>
  <si>
    <t>AD_0016_M_SD_20190129</t>
  </si>
  <si>
    <t>AD_0018_M_SD_20201210</t>
  </si>
  <si>
    <t>AD_0022_M_SD_20210125</t>
  </si>
  <si>
    <t>AD_0025_M_SD_20201020</t>
  </si>
  <si>
    <t>AD_0028_M_SD_20200909</t>
  </si>
  <si>
    <t>AD_0031_M_SD_20190930</t>
  </si>
  <si>
    <t>AD_0035_M_SD_20201110</t>
  </si>
  <si>
    <t>AD_0036_M_SD_20191007</t>
  </si>
  <si>
    <t>AD_0040_M_SD_20210201</t>
  </si>
  <si>
    <t>AD_0042_M_SD_20190422</t>
  </si>
  <si>
    <t>AD_0052_M_SD_000000</t>
  </si>
  <si>
    <t>AD_0057_M_SD_000000</t>
  </si>
  <si>
    <t>AD_0076_M_SD_20200908</t>
  </si>
  <si>
    <t>AD_0077_M_SD_20190619</t>
  </si>
  <si>
    <t>AD_0077_M_SD_20200610</t>
  </si>
  <si>
    <t>AD_0081_M_SD_20210302</t>
  </si>
  <si>
    <t>AD_0086_M_SD_20200928</t>
  </si>
  <si>
    <t>AD_0030_F_SD_20210210</t>
  </si>
  <si>
    <t>CTL_0112_M_SD_20201030</t>
  </si>
  <si>
    <t>CTL_0113_F_SD_20201119</t>
  </si>
  <si>
    <t>CTL_0119_M_SD_20210624</t>
  </si>
  <si>
    <t>CTL_0120_M_SD_20210901</t>
  </si>
  <si>
    <t>CTL_0121_M_SD_20211118</t>
  </si>
  <si>
    <t>CTL_0122_M_SD_20230921</t>
  </si>
  <si>
    <t>CTL_0123_F_SD_20230829</t>
  </si>
  <si>
    <t>CTL_0124_F_SD_20230906</t>
  </si>
  <si>
    <t>CTL_0125_M_SD_20230915</t>
  </si>
  <si>
    <t>MCI_0126_M_SD_20210615</t>
  </si>
  <si>
    <t>MCI_0127_M_SD_20211108</t>
  </si>
  <si>
    <t>MCI_0128_F_SD_20211210</t>
  </si>
  <si>
    <t>MCI_0129_F_SD_20220905</t>
  </si>
  <si>
    <t>MCI_0130_F_SD_20220921</t>
  </si>
  <si>
    <t>MCI_0131_M_SD_20230417</t>
  </si>
  <si>
    <t>MCI_0132_F_SD_20230613</t>
  </si>
  <si>
    <t>MCI_0133_F_SD_20230711</t>
  </si>
  <si>
    <t>MCI_0134_F_SD_20230712</t>
  </si>
  <si>
    <t>MCI_0135_F_SD_20230731</t>
  </si>
  <si>
    <t>MCI_0136_F_SD_20230809</t>
  </si>
  <si>
    <t>MCI6</t>
    <phoneticPr fontId="2" type="noConversion"/>
  </si>
  <si>
    <t>MCI8</t>
  </si>
  <si>
    <t>MCI7</t>
  </si>
  <si>
    <t>MCI9</t>
  </si>
  <si>
    <t>MCI10</t>
  </si>
  <si>
    <t>MCI11</t>
  </si>
  <si>
    <t>MCI12</t>
  </si>
  <si>
    <t>MCI13</t>
  </si>
  <si>
    <t>MCI14</t>
  </si>
  <si>
    <t>MCI15</t>
  </si>
  <si>
    <t>MCI16</t>
  </si>
  <si>
    <t>MCI17</t>
  </si>
  <si>
    <t>MCI18</t>
  </si>
  <si>
    <t>MCI19</t>
  </si>
  <si>
    <t>MCI20</t>
  </si>
  <si>
    <t>MCI21</t>
  </si>
  <si>
    <t>MCI22</t>
  </si>
  <si>
    <t>C11</t>
    <phoneticPr fontId="2" type="noConversion"/>
  </si>
  <si>
    <t>C22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</si>
  <si>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</si>
  <si>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</si>
  <si>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</si>
  <si>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</si>
  <si>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</si>
  <si>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</si>
  <si>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</si>
  <si>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</si>
  <si>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</si>
  <si>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</si>
  <si>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AD11</t>
    <phoneticPr fontId="2" type="noConversion"/>
  </si>
  <si>
    <t>AD33</t>
  </si>
  <si>
    <t>AD44</t>
  </si>
  <si>
    <t>AD55</t>
  </si>
  <si>
    <t>AD66</t>
  </si>
  <si>
    <t>AD77</t>
  </si>
  <si>
    <t>AD88</t>
  </si>
  <si>
    <t>AD99</t>
  </si>
  <si>
    <t>AD12</t>
  </si>
  <si>
    <t>AD13</t>
  </si>
  <si>
    <t>AD14</t>
  </si>
  <si>
    <t>AD15</t>
  </si>
  <si>
    <t>AD16</t>
  </si>
  <si>
    <t>AD17</t>
  </si>
  <si>
    <t>AD18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</si>
  <si>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</si>
  <si>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</si>
  <si>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</si>
  <si>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</si>
  <si>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</si>
  <si>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</si>
  <si>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</si>
  <si>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</si>
  <si>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</si>
  <si>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</si>
  <si>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AD29</t>
  </si>
  <si>
    <t>AD30</t>
  </si>
  <si>
    <t>AD31</t>
  </si>
  <si>
    <t>AD32</t>
  </si>
  <si>
    <t>AD34</t>
  </si>
  <si>
    <t>AD35</t>
  </si>
  <si>
    <t>AD36</t>
  </si>
  <si>
    <t>AD37</t>
  </si>
  <si>
    <t>AD38</t>
  </si>
  <si>
    <t>AD39</t>
  </si>
  <si>
    <t>AD40</t>
  </si>
  <si>
    <t>AD41</t>
  </si>
  <si>
    <t>AD42</t>
  </si>
  <si>
    <t>AD43</t>
  </si>
  <si>
    <t>AD45</t>
  </si>
  <si>
    <t>AD46</t>
  </si>
  <si>
    <t>AD47</t>
  </si>
  <si>
    <t>AD48</t>
  </si>
  <si>
    <t>AD49</t>
  </si>
  <si>
    <t>AD50</t>
  </si>
  <si>
    <t>AD51</t>
  </si>
  <si>
    <t>AD52</t>
  </si>
  <si>
    <t>AD53</t>
  </si>
  <si>
    <t>AD54</t>
  </si>
  <si>
    <t>AD56</t>
  </si>
  <si>
    <t>AD57</t>
  </si>
  <si>
    <t>AD58</t>
  </si>
  <si>
    <t>AD59</t>
  </si>
  <si>
    <t>AD60</t>
  </si>
  <si>
    <t>AD61</t>
  </si>
  <si>
    <t>AD62</t>
  </si>
  <si>
    <t>AD63</t>
  </si>
  <si>
    <t>AD64</t>
  </si>
  <si>
    <t>AD65</t>
  </si>
  <si>
    <t>AD67</t>
  </si>
  <si>
    <t>AD68</t>
  </si>
  <si>
    <t>AD69</t>
  </si>
  <si>
    <t>AD70</t>
  </si>
  <si>
    <t>AD71</t>
  </si>
  <si>
    <t>AD72</t>
  </si>
  <si>
    <t>AD73</t>
  </si>
  <si>
    <t>AD74</t>
  </si>
  <si>
    <t>AD75</t>
  </si>
  <si>
    <t>AD76</t>
  </si>
  <si>
    <t>AD78</t>
  </si>
  <si>
    <t>AD79</t>
  </si>
  <si>
    <t>AD80</t>
  </si>
  <si>
    <t>AD81</t>
  </si>
  <si>
    <t>AD82</t>
  </si>
  <si>
    <t>AD83</t>
  </si>
  <si>
    <t>AD84</t>
  </si>
  <si>
    <t>AD85</t>
  </si>
  <si>
    <t>AD86</t>
  </si>
  <si>
    <t>AD87</t>
  </si>
  <si>
    <t>AD89</t>
  </si>
  <si>
    <t>AD90</t>
  </si>
  <si>
    <t>AD91</t>
  </si>
  <si>
    <t>AD92</t>
  </si>
  <si>
    <t>AD93</t>
  </si>
  <si>
    <t>AD94</t>
  </si>
  <si>
    <t>AD95</t>
  </si>
  <si>
    <t>AD96</t>
  </si>
  <si>
    <t>AD97</t>
  </si>
  <si>
    <t>AD98</t>
  </si>
  <si>
    <t>AD100</t>
  </si>
  <si>
    <t>AD101</t>
  </si>
  <si>
    <t>AD102</t>
  </si>
  <si>
    <t>AD103</t>
  </si>
  <si>
    <t>AD104</t>
  </si>
  <si>
    <t>AD105</t>
  </si>
  <si>
    <t>AD106</t>
  </si>
  <si>
    <t>AD107</t>
  </si>
  <si>
    <t>AD108</t>
  </si>
  <si>
    <t>AD109</t>
  </si>
  <si>
    <t>AD110</t>
  </si>
  <si>
    <t>AD111</t>
  </si>
  <si>
    <t>AD112</t>
  </si>
  <si>
    <t>AD113</t>
  </si>
  <si>
    <t>AD114</t>
  </si>
  <si>
    <t>AD115</t>
  </si>
  <si>
    <t>누리바이오번호</t>
    <phoneticPr fontId="2" type="noConversion"/>
  </si>
  <si>
    <t>Retest</t>
    <phoneticPr fontId="2" type="noConversion"/>
  </si>
  <si>
    <t>Label</t>
    <phoneticPr fontId="2" type="noConversion"/>
  </si>
  <si>
    <t>Z</t>
    <phoneticPr fontId="2" type="noConversion"/>
  </si>
  <si>
    <t>p</t>
    <phoneticPr fontId="2" type="noConversion"/>
  </si>
  <si>
    <t>Index1</t>
  </si>
  <si>
    <t>Index1</t>
    <phoneticPr fontId="2" type="noConversion"/>
  </si>
  <si>
    <t>check</t>
    <phoneticPr fontId="2" type="noConversion"/>
  </si>
  <si>
    <t>Index2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</si>
</sst>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_);[Red]\(0\)"/>
    <numFmt numFmtId="177" formatCode="0000\-00\-00"/>
    <numFmt numFmtId="179" formatCode="0.000"/>
    <numFmt numFmtId="180" formatCode="0.0"/>
    <numFmt numFmtId="181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33333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맑은 고딕 (본문)"/>
      <family val="3"/>
      <charset val="129"/>
    </font>
    <font>
      <b/>
      <sz val="9"/>
      <color rgb="FFFF0000"/>
      <name val="맑은 고딕 (본문)"/>
      <family val="3"/>
      <charset val="129"/>
    </font>
    <font>
      <b/>
      <sz val="10"/>
      <color rgb="FFFF0000"/>
      <name val="맑은 고딕"/>
      <family val="3"/>
      <charset val="129"/>
    </font>
    <font>
      <b/>
      <sz val="12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</font>
    <font>
      <b/>
      <sz val="12"/>
      <color rgb="FFFF0000"/>
      <name val="맑은 고딕 (본문)"/>
      <family val="3"/>
      <charset val="129"/>
    </font>
    <font>
      <b/>
      <sz val="12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" fillId="0" borderId="0">
      <alignment vertical="center"/>
    </xf>
  </cellStyleXfs>
  <cellXfs count="89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76" fontId="13" fillId="0" borderId="1" xfId="1" applyNumberFormat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/>
    </xf>
    <xf numFmtId="176" fontId="7" fillId="3" borderId="1" xfId="1" applyNumberFormat="1" applyFont="1" applyFill="1" applyBorder="1" applyAlignment="1">
      <alignment horizontal="center" vertical="center"/>
    </xf>
    <xf numFmtId="176" fontId="13" fillId="3" borderId="1" xfId="1" applyNumberFormat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wrapText="1"/>
    </xf>
    <xf numFmtId="0" fontId="10" fillId="3" borderId="1" xfId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1" xfId="2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4" fontId="8" fillId="0" borderId="3" xfId="1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2" fontId="8" fillId="3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3" borderId="1" xfId="0" quotePrefix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4" fillId="3" borderId="1" xfId="1" applyFont="1" applyFill="1" applyBorder="1" applyAlignment="1">
      <alignment horizontal="center"/>
    </xf>
    <xf numFmtId="176" fontId="14" fillId="3" borderId="1" xfId="1" applyNumberFormat="1" applyFont="1" applyFill="1" applyBorder="1" applyAlignment="1">
      <alignment horizontal="center" vertical="center"/>
    </xf>
    <xf numFmtId="176" fontId="15" fillId="3" borderId="1" xfId="1" applyNumberFormat="1" applyFont="1" applyFill="1" applyBorder="1" applyAlignment="1">
      <alignment horizontal="center" vertical="center"/>
    </xf>
    <xf numFmtId="0" fontId="14" fillId="3" borderId="1" xfId="1" applyFont="1" applyFill="1" applyBorder="1" applyAlignment="1">
      <alignment horizontal="center" vertical="center"/>
    </xf>
    <xf numFmtId="177" fontId="14" fillId="3" borderId="1" xfId="0" applyNumberFormat="1" applyFont="1" applyFill="1" applyBorder="1" applyAlignment="1">
      <alignment horizontal="center" vertical="center"/>
    </xf>
    <xf numFmtId="2" fontId="14" fillId="3" borderId="1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180" fontId="18" fillId="5" borderId="1" xfId="0" applyNumberFormat="1" applyFont="1" applyFill="1" applyBorder="1">
      <alignment vertical="center"/>
    </xf>
    <xf numFmtId="180" fontId="18" fillId="0" borderId="1" xfId="0" applyNumberFormat="1" applyFont="1" applyBorder="1">
      <alignment vertical="center"/>
    </xf>
    <xf numFmtId="2" fontId="14" fillId="3" borderId="1" xfId="1" applyNumberFormat="1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81" fontId="17" fillId="4" borderId="1" xfId="0" applyNumberFormat="1" applyFont="1" applyFill="1" applyBorder="1" applyAlignment="1">
      <alignment horizontal="center" vertical="center"/>
    </xf>
    <xf numFmtId="180" fontId="19" fillId="3" borderId="1" xfId="0" applyNumberFormat="1" applyFont="1" applyFill="1" applyBorder="1">
      <alignment vertical="center"/>
    </xf>
    <xf numFmtId="181" fontId="17" fillId="3" borderId="1" xfId="0" applyNumberFormat="1" applyFont="1" applyFill="1" applyBorder="1" applyAlignment="1">
      <alignment horizontal="center" vertical="center"/>
    </xf>
    <xf numFmtId="180" fontId="18" fillId="3" borderId="1" xfId="0" applyNumberFormat="1" applyFont="1" applyFill="1" applyBorder="1">
      <alignment vertical="center"/>
    </xf>
    <xf numFmtId="2" fontId="14" fillId="3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80" fontId="18" fillId="2" borderId="1" xfId="0" applyNumberFormat="1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181" fontId="17" fillId="2" borderId="1" xfId="0" applyNumberFormat="1" applyFont="1" applyFill="1" applyBorder="1" applyAlignment="1">
      <alignment horizontal="center" vertical="center"/>
    </xf>
    <xf numFmtId="176" fontId="13" fillId="2" borderId="1" xfId="1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181" fontId="20" fillId="4" borderId="1" xfId="0" applyNumberFormat="1" applyFont="1" applyFill="1" applyBorder="1" applyAlignment="1">
      <alignment horizontal="center" vertical="center"/>
    </xf>
    <xf numFmtId="181" fontId="20" fillId="3" borderId="1" xfId="0" applyNumberFormat="1" applyFont="1" applyFill="1" applyBorder="1" applyAlignment="1">
      <alignment horizontal="center" vertical="center"/>
    </xf>
    <xf numFmtId="181" fontId="20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79" fontId="14" fillId="3" borderId="0" xfId="0" applyNumberFormat="1" applyFont="1" applyFill="1" applyAlignment="1">
      <alignment horizontal="center" vertical="center"/>
    </xf>
    <xf numFmtId="179" fontId="4" fillId="3" borderId="0" xfId="0" applyNumberFormat="1" applyFont="1" applyFill="1" applyAlignment="1">
      <alignment horizontal="center" vertical="center"/>
    </xf>
    <xf numFmtId="179" fontId="4" fillId="2" borderId="0" xfId="0" applyNumberFormat="1" applyFont="1" applyFill="1" applyAlignment="1">
      <alignment horizontal="center" vertical="center"/>
    </xf>
  </cellXfs>
  <cellStyles count="3">
    <cellStyle name="표준" xfId="0" builtinId="0"/>
    <cellStyle name="표준 2" xfId="1" xr:uid="{73F2D348-E604-4B9C-9642-6049D9E01BEF}"/>
    <cellStyle name="표준 72" xfId="2" xr:uid="{EF426D7F-977D-472C-B9AE-65ED83B65735}"/>
  </cellStyles>
  <dxfs count="0"/>
  <tableStyles count="1" defaultTableStyle="TableStyleMedium2" defaultPivotStyle="PivotStyleLight16">
    <tableStyle name="Invisible" pivot="0" table="0" count="0" xr9:uid="{281A7D14-D449-40A3-A84A-E3DE153CAC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B09D-CD11-494B-AB42-84B4D47891A1}">
  <dimension ref="A1:BQ160"/>
  <sheetViews>
    <sheetView tabSelected="1" topLeftCell="AI1" zoomScaleNormal="100" workbookViewId="0">
      <pane ySplit="1" topLeftCell="A2" activePane="bottomLeft" state="frozen"/>
      <selection pane="bottomLeft" activeCell="AO4" sqref="AO4"/>
    </sheetView>
  </sheetViews>
  <sheetFormatPr baseColWidth="10" defaultColWidth="8.83203125" defaultRowHeight="15"/>
  <cols>
    <col min="1" max="2" width="8.83203125" style="6"/>
    <col min="3" max="3" width="5" style="6" bestFit="1" customWidth="1"/>
    <col min="4" max="4" width="18.6640625" style="6" bestFit="1" customWidth="1"/>
    <col min="5" max="5" width="21.33203125" style="16" bestFit="1" customWidth="1"/>
    <col min="6" max="6" width="7" style="6" bestFit="1" customWidth="1"/>
    <col min="7" max="7" width="10" style="6" bestFit="1" customWidth="1"/>
    <col min="8" max="8" width="7.33203125" style="6" customWidth="1"/>
    <col min="9" max="9" width="7.1640625" style="6" bestFit="1" customWidth="1"/>
    <col min="10" max="10" width="4" style="6" bestFit="1" customWidth="1"/>
    <col min="11" max="11" width="3.6640625" style="6" bestFit="1" customWidth="1"/>
    <col min="12" max="12" width="11.33203125" style="6" bestFit="1" customWidth="1"/>
    <col min="13" max="13" width="4.33203125" style="6" bestFit="1" customWidth="1"/>
    <col min="14" max="14" width="5" style="6" bestFit="1" customWidth="1"/>
    <col min="15" max="15" width="7.5" style="6" bestFit="1" customWidth="1"/>
    <col min="16" max="17" width="9.33203125" style="6" customWidth="1"/>
    <col min="18" max="18" width="5.1640625" style="6" customWidth="1"/>
    <col min="19" max="19" width="9.33203125" style="6" customWidth="1"/>
    <col min="20" max="20" width="10" style="6" customWidth="1"/>
    <col min="21" max="21" width="8.1640625" style="6" bestFit="1" customWidth="1"/>
    <col min="22" max="22" width="9.6640625" style="6" bestFit="1" customWidth="1"/>
    <col min="23" max="33" width="10" style="6" customWidth="1"/>
    <col min="34" max="34" width="11" style="6" customWidth="1"/>
    <col min="35" max="35" width="10" style="6" customWidth="1"/>
    <col min="36" max="36" width="11" style="6" customWidth="1"/>
    <col min="37" max="37" width="10.5" style="6" customWidth="1"/>
    <col min="38" max="38" width="7.33203125" style="6" customWidth="1"/>
    <col min="39" max="39" width="9.1640625" style="6" bestFit="1" customWidth="1"/>
    <col min="40" max="42" width="8.83203125" style="6"/>
    <col min="43" max="43" width="7.33203125" style="6" customWidth="1"/>
    <col min="44" max="54" width="8.83203125" style="6"/>
    <col min="55" max="55" width="7.33203125" style="6" customWidth="1"/>
    <col min="56" max="65" width="8.83203125" style="6"/>
    <col min="66" max="66" width="8.83203125" style="85"/>
    <col min="67" max="67" width="8.83203125" style="6"/>
    <col min="68" max="68" width="9.33203125" style="6" bestFit="1" customWidth="1"/>
    <col min="69" max="69" width="9" style="6" bestFit="1" customWidth="1"/>
    <col min="70" max="16384" width="8.83203125" style="6"/>
  </cols>
  <sheetData>
    <row r="1" spans="1:69" s="34" customFormat="1" ht="50.5" customHeight="1" thickBot="1">
      <c r="A1" s="8" t="s">
        <v>44</v>
      </c>
      <c r="B1" s="8" t="s">
        <v>541</v>
      </c>
      <c r="C1" s="9" t="s">
        <v>0</v>
      </c>
      <c r="D1" s="9" t="s">
        <v>278</v>
      </c>
      <c r="E1" s="17" t="s">
        <v>289</v>
      </c>
      <c r="F1" s="9" t="s">
        <v>10</v>
      </c>
      <c r="G1" s="9" t="s">
        <v>11</v>
      </c>
      <c r="H1" s="9" t="s">
        <v>33</v>
      </c>
      <c r="I1" s="9" t="s">
        <v>27</v>
      </c>
      <c r="J1" s="9" t="s">
        <v>1</v>
      </c>
      <c r="K1" s="9" t="s">
        <v>2</v>
      </c>
      <c r="L1" s="9" t="s">
        <v>28</v>
      </c>
      <c r="M1" s="9" t="s">
        <v>29</v>
      </c>
      <c r="N1" s="9" t="s">
        <v>30</v>
      </c>
      <c r="O1" s="10" t="s">
        <v>46</v>
      </c>
      <c r="P1" s="10" t="s">
        <v>98</v>
      </c>
      <c r="Q1" s="10" t="s">
        <v>99</v>
      </c>
      <c r="R1" s="10" t="s">
        <v>115</v>
      </c>
      <c r="S1" s="11" t="s">
        <v>116</v>
      </c>
      <c r="T1" s="12" t="s">
        <v>279</v>
      </c>
      <c r="U1" s="15" t="s">
        <v>283</v>
      </c>
      <c r="V1" s="14" t="s">
        <v>280</v>
      </c>
      <c r="W1" s="13" t="s">
        <v>283</v>
      </c>
      <c r="X1" s="14" t="s">
        <v>281</v>
      </c>
      <c r="Y1" s="13" t="s">
        <v>283</v>
      </c>
      <c r="Z1" s="14" t="s">
        <v>282</v>
      </c>
      <c r="AA1" s="15" t="s">
        <v>283</v>
      </c>
      <c r="AB1" s="33" t="s">
        <v>284</v>
      </c>
      <c r="AC1" s="13" t="s">
        <v>283</v>
      </c>
      <c r="AD1" s="14" t="s">
        <v>285</v>
      </c>
      <c r="AE1" s="13" t="s">
        <v>283</v>
      </c>
      <c r="AF1" s="14" t="s">
        <v>286</v>
      </c>
      <c r="AG1" s="13" t="s">
        <v>283</v>
      </c>
      <c r="AH1" s="14" t="s">
        <v>287</v>
      </c>
      <c r="AI1" s="13" t="s">
        <v>283</v>
      </c>
      <c r="AJ1" s="14" t="s">
        <v>288</v>
      </c>
      <c r="AK1" s="15" t="s">
        <v>283</v>
      </c>
      <c r="AL1" s="9" t="s">
        <v>27</v>
      </c>
      <c r="AM1" s="60" t="s">
        <v>547</v>
      </c>
      <c r="AP1" s="34" t="s">
        <v>543</v>
      </c>
      <c r="AQ1" s="9" t="s">
        <v>27</v>
      </c>
      <c r="AR1" s="12" t="s">
        <v>279</v>
      </c>
      <c r="AS1" s="14" t="s">
        <v>280</v>
      </c>
      <c r="AT1" s="14" t="s">
        <v>281</v>
      </c>
      <c r="AU1" s="14" t="s">
        <v>282</v>
      </c>
      <c r="AV1" s="33" t="s">
        <v>284</v>
      </c>
      <c r="AW1" s="14" t="s">
        <v>285</v>
      </c>
      <c r="AX1" s="14" t="s">
        <v>286</v>
      </c>
      <c r="AY1" s="14" t="s">
        <v>287</v>
      </c>
      <c r="AZ1" s="14" t="s">
        <v>288</v>
      </c>
      <c r="BB1" s="34" t="s">
        <v>543</v>
      </c>
      <c r="BC1" s="9" t="s">
        <v>27</v>
      </c>
      <c r="BD1" s="12" t="s">
        <v>279</v>
      </c>
      <c r="BE1" s="14" t="s">
        <v>280</v>
      </c>
      <c r="BF1" s="14" t="s">
        <v>281</v>
      </c>
      <c r="BG1" s="14" t="s">
        <v>282</v>
      </c>
      <c r="BH1" s="33" t="s">
        <v>284</v>
      </c>
      <c r="BI1" s="14" t="s">
        <v>285</v>
      </c>
      <c r="BJ1" s="14" t="s">
        <v>286</v>
      </c>
      <c r="BK1" s="14" t="s">
        <v>287</v>
      </c>
      <c r="BL1" s="14" t="s">
        <v>288</v>
      </c>
      <c r="BM1" s="34" t="s">
        <v>544</v>
      </c>
      <c r="BN1" s="81" t="s">
        <v>545</v>
      </c>
      <c r="BP1" s="34" t="s">
        <v>546</v>
      </c>
      <c r="BQ1" s="34" t="s">
        <v>549</v>
      </c>
    </row>
    <row r="2" spans="1:69" ht="15" customHeight="1">
      <c r="A2" s="1" t="s">
        <v>45</v>
      </c>
      <c r="B2" s="1"/>
      <c r="C2" s="1">
        <v>11</v>
      </c>
      <c r="D2" s="1" t="s">
        <v>3</v>
      </c>
      <c r="E2" s="18"/>
      <c r="F2" s="1"/>
      <c r="G2" s="1"/>
      <c r="H2" s="1" t="s">
        <v>39</v>
      </c>
      <c r="I2" s="1" t="s">
        <v>66</v>
      </c>
      <c r="J2" s="1">
        <v>57</v>
      </c>
      <c r="K2" s="1" t="s">
        <v>4</v>
      </c>
      <c r="L2" s="1"/>
      <c r="M2" s="1"/>
      <c r="N2" s="1"/>
      <c r="O2" s="1">
        <v>15.2</v>
      </c>
      <c r="P2" s="1">
        <v>1.27</v>
      </c>
      <c r="Q2" s="1">
        <v>0.42</v>
      </c>
      <c r="R2" s="1">
        <v>50</v>
      </c>
      <c r="S2" s="1" t="s">
        <v>89</v>
      </c>
      <c r="T2" s="32">
        <v>26.25</v>
      </c>
      <c r="U2" s="32">
        <v>25.29</v>
      </c>
      <c r="V2" s="32">
        <v>25.55</v>
      </c>
      <c r="W2" s="32">
        <v>25.33</v>
      </c>
      <c r="X2" s="32">
        <v>29.66</v>
      </c>
      <c r="Y2" s="32">
        <v>25.26</v>
      </c>
      <c r="Z2" s="32">
        <v>24.4</v>
      </c>
      <c r="AA2" s="32">
        <v>25.08</v>
      </c>
      <c r="AB2" s="32">
        <v>40</v>
      </c>
      <c r="AC2" s="32">
        <v>26.81</v>
      </c>
      <c r="AD2" s="32">
        <v>33.35</v>
      </c>
      <c r="AE2" s="32">
        <v>26.77</v>
      </c>
      <c r="AF2" s="32">
        <v>40</v>
      </c>
      <c r="AG2" s="32">
        <v>26.9</v>
      </c>
      <c r="AH2" s="32">
        <v>33.090000000000003</v>
      </c>
      <c r="AI2" s="32">
        <v>27.02</v>
      </c>
      <c r="AJ2" s="32">
        <v>38.57</v>
      </c>
      <c r="AK2" s="32">
        <v>26.81</v>
      </c>
      <c r="AL2" s="1" t="s">
        <v>66</v>
      </c>
      <c r="AM2" s="61">
        <f t="shared" ref="AM2:AM33" si="0">1/(1+EXP(-(16.9812 +0.5694*(T2-U2) -0.3622*(AB2-AC2)-1.8146*(AF2-AG2)+0.0423*(AJ2-AK2))))*100</f>
        <v>2.6898691946748259E-3</v>
      </c>
      <c r="AP2" s="1" t="s">
        <v>39</v>
      </c>
      <c r="AQ2" s="1" t="s">
        <v>66</v>
      </c>
      <c r="AR2" s="46">
        <f>T2-U2</f>
        <v>0.96000000000000085</v>
      </c>
      <c r="AS2" s="46">
        <f t="shared" ref="AS2" si="1">V2-W2</f>
        <v>0.22000000000000242</v>
      </c>
      <c r="AT2" s="46">
        <f t="shared" ref="AT2" si="2">X2-Y2</f>
        <v>4.3999999999999986</v>
      </c>
      <c r="AU2" s="46">
        <f t="shared" ref="AU2" si="3">Z2-AA2</f>
        <v>-0.67999999999999972</v>
      </c>
      <c r="AV2" s="46">
        <f t="shared" ref="AV2" si="4">AB2-AC2</f>
        <v>13.190000000000001</v>
      </c>
      <c r="AW2" s="46">
        <f t="shared" ref="AW2" si="5">AD2-AE2</f>
        <v>6.5800000000000018</v>
      </c>
      <c r="AX2" s="46">
        <f t="shared" ref="AX2" si="6">AF2-AG2</f>
        <v>13.100000000000001</v>
      </c>
      <c r="AY2" s="46">
        <f t="shared" ref="AY2" si="7">AH2-AI2</f>
        <v>6.0700000000000038</v>
      </c>
      <c r="AZ2" s="46">
        <f t="shared" ref="AZ2" si="8">AJ2-AK2</f>
        <v>11.760000000000002</v>
      </c>
      <c r="BA2" s="46"/>
      <c r="BB2" s="1" t="s">
        <v>39</v>
      </c>
      <c r="BC2" s="1" t="s">
        <v>66</v>
      </c>
      <c r="BD2" s="46" t="e">
        <f>AR2*#REF!</f>
        <v>#REF!</v>
      </c>
      <c r="BE2" s="46" t="e">
        <f>AS2*#REF!</f>
        <v>#REF!</v>
      </c>
      <c r="BF2" s="46" t="e">
        <f>AT2*#REF!</f>
        <v>#REF!</v>
      </c>
      <c r="BG2" s="46" t="e">
        <f>AU2*#REF!</f>
        <v>#REF!</v>
      </c>
      <c r="BH2" s="46" t="e">
        <f>AV2*#REF!</f>
        <v>#REF!</v>
      </c>
      <c r="BI2" s="46" t="e">
        <f>AW2*#REF!</f>
        <v>#REF!</v>
      </c>
      <c r="BJ2" s="46" t="e">
        <f>AX2*#REF!</f>
        <v>#REF!</v>
      </c>
      <c r="BK2" s="46" t="e">
        <f>AY2*#REF!</f>
        <v>#REF!</v>
      </c>
      <c r="BL2" s="46" t="e">
        <f>AZ2*#REF!</f>
        <v>#REF!</v>
      </c>
      <c r="BM2" s="46" t="e">
        <f>SUM(BD2:BL2)+13.0716</f>
        <v>#REF!</v>
      </c>
      <c r="BN2" s="82" t="e">
        <f>1/(1+EXP(-BM2))</f>
        <v>#REF!</v>
      </c>
      <c r="BP2" s="64">
        <v>2.6898691946748259E-3</v>
      </c>
      <c r="BQ2" s="64">
        <v>2.4922599472490888E-3</v>
      </c>
    </row>
    <row r="3" spans="1:69" ht="15" customHeight="1">
      <c r="A3" s="1" t="s">
        <v>45</v>
      </c>
      <c r="B3" s="1"/>
      <c r="C3" s="1">
        <v>12</v>
      </c>
      <c r="D3" s="1" t="s">
        <v>5</v>
      </c>
      <c r="E3" s="18"/>
      <c r="F3" s="1"/>
      <c r="G3" s="1"/>
      <c r="H3" s="1" t="s">
        <v>40</v>
      </c>
      <c r="I3" s="1" t="s">
        <v>66</v>
      </c>
      <c r="J3" s="1">
        <v>66</v>
      </c>
      <c r="K3" s="1" t="s">
        <v>6</v>
      </c>
      <c r="L3" s="1"/>
      <c r="M3" s="1"/>
      <c r="N3" s="1"/>
      <c r="O3" s="1">
        <v>11.5</v>
      </c>
      <c r="P3" s="1">
        <v>1.24</v>
      </c>
      <c r="Q3" s="1">
        <v>0.38</v>
      </c>
      <c r="R3" s="1">
        <v>50</v>
      </c>
      <c r="S3" s="1" t="s">
        <v>90</v>
      </c>
      <c r="T3" s="2">
        <v>26.83</v>
      </c>
      <c r="U3" s="2">
        <v>24.91</v>
      </c>
      <c r="V3" s="2">
        <v>26.13</v>
      </c>
      <c r="W3" s="2">
        <v>24.74</v>
      </c>
      <c r="X3" s="2">
        <v>30.19</v>
      </c>
      <c r="Y3" s="2">
        <v>24.62</v>
      </c>
      <c r="Z3" s="2">
        <v>24.26</v>
      </c>
      <c r="AA3" s="2">
        <v>24.32</v>
      </c>
      <c r="AB3" s="2">
        <v>40</v>
      </c>
      <c r="AC3" s="2">
        <v>26.4</v>
      </c>
      <c r="AD3" s="2">
        <v>34.159999999999997</v>
      </c>
      <c r="AE3" s="2">
        <v>26.32</v>
      </c>
      <c r="AF3" s="2">
        <v>39.53</v>
      </c>
      <c r="AG3" s="2">
        <v>26.37</v>
      </c>
      <c r="AH3" s="2">
        <v>33.950000000000003</v>
      </c>
      <c r="AI3" s="2">
        <v>26.4</v>
      </c>
      <c r="AJ3" s="2">
        <v>39.07</v>
      </c>
      <c r="AK3" s="2">
        <v>26.28</v>
      </c>
      <c r="AL3" s="1" t="s">
        <v>66</v>
      </c>
      <c r="AM3" s="61">
        <f t="shared" si="0"/>
        <v>3.7520296890385676E-3</v>
      </c>
      <c r="AP3" s="1" t="s">
        <v>40</v>
      </c>
      <c r="AQ3" s="1" t="s">
        <v>66</v>
      </c>
      <c r="AR3" s="46">
        <f t="shared" ref="AR3:AR66" si="9">T3-U3</f>
        <v>1.9199999999999982</v>
      </c>
      <c r="AS3" s="46">
        <f t="shared" ref="AS3:AS66" si="10">V3-W3</f>
        <v>1.3900000000000006</v>
      </c>
      <c r="AT3" s="46">
        <f t="shared" ref="AT3:AT66" si="11">X3-Y3</f>
        <v>5.57</v>
      </c>
      <c r="AU3" s="46">
        <f t="shared" ref="AU3:AU66" si="12">Z3-AA3</f>
        <v>-5.9999999999998721E-2</v>
      </c>
      <c r="AV3" s="46">
        <f t="shared" ref="AV3:AV66" si="13">AB3-AC3</f>
        <v>13.600000000000001</v>
      </c>
      <c r="AW3" s="46">
        <f t="shared" ref="AW3:AW66" si="14">AD3-AE3</f>
        <v>7.8399999999999963</v>
      </c>
      <c r="AX3" s="46">
        <f t="shared" ref="AX3:AX66" si="15">AF3-AG3</f>
        <v>13.16</v>
      </c>
      <c r="AY3" s="46">
        <f t="shared" ref="AY3:AY66" si="16">AH3-AI3</f>
        <v>7.5500000000000043</v>
      </c>
      <c r="AZ3" s="46">
        <f t="shared" ref="AZ3:AZ66" si="17">AJ3-AK3</f>
        <v>12.79</v>
      </c>
      <c r="BA3" s="46"/>
      <c r="BB3" s="1" t="s">
        <v>40</v>
      </c>
      <c r="BC3" s="1" t="s">
        <v>66</v>
      </c>
      <c r="BD3" s="46" t="e">
        <f>AR3*#REF!</f>
        <v>#REF!</v>
      </c>
      <c r="BE3" s="46" t="e">
        <f>AS3*#REF!</f>
        <v>#REF!</v>
      </c>
      <c r="BF3" s="46" t="e">
        <f>AT3*#REF!</f>
        <v>#REF!</v>
      </c>
      <c r="BG3" s="46" t="e">
        <f>AU3*#REF!</f>
        <v>#REF!</v>
      </c>
      <c r="BH3" s="46" t="e">
        <f>AV3*#REF!</f>
        <v>#REF!</v>
      </c>
      <c r="BI3" s="46" t="e">
        <f>AW3*#REF!</f>
        <v>#REF!</v>
      </c>
      <c r="BJ3" s="46" t="e">
        <f>AX3*#REF!</f>
        <v>#REF!</v>
      </c>
      <c r="BK3" s="46" t="e">
        <f>AY3*#REF!</f>
        <v>#REF!</v>
      </c>
      <c r="BL3" s="46" t="e">
        <f>AZ3*#REF!</f>
        <v>#REF!</v>
      </c>
      <c r="BM3" s="46" t="e">
        <f t="shared" ref="BM3:BM66" si="18">SUM(BD3:BL3)+13.0716</f>
        <v>#REF!</v>
      </c>
      <c r="BN3" s="82" t="e">
        <f t="shared" ref="BN3:BN66" si="19">1/(1+EXP(-BM3))</f>
        <v>#REF!</v>
      </c>
      <c r="BP3" s="64">
        <v>3.7520296890385676E-3</v>
      </c>
      <c r="BQ3" s="64">
        <v>1.3185752974501422E-3</v>
      </c>
    </row>
    <row r="4" spans="1:69" ht="15" customHeight="1">
      <c r="A4" s="1" t="s">
        <v>45</v>
      </c>
      <c r="B4" s="1"/>
      <c r="C4" s="1">
        <v>13</v>
      </c>
      <c r="D4" s="1" t="s">
        <v>7</v>
      </c>
      <c r="E4" s="18"/>
      <c r="F4" s="1"/>
      <c r="G4" s="1"/>
      <c r="H4" s="1" t="s">
        <v>41</v>
      </c>
      <c r="I4" s="1" t="s">
        <v>66</v>
      </c>
      <c r="J4" s="1">
        <v>62</v>
      </c>
      <c r="K4" s="1" t="s">
        <v>6</v>
      </c>
      <c r="L4" s="1"/>
      <c r="M4" s="1"/>
      <c r="N4" s="1"/>
      <c r="O4" s="1">
        <v>10.9</v>
      </c>
      <c r="P4" s="1">
        <v>1.17</v>
      </c>
      <c r="Q4" s="1">
        <v>0.35</v>
      </c>
      <c r="R4" s="1">
        <v>50</v>
      </c>
      <c r="S4" s="1" t="s">
        <v>91</v>
      </c>
      <c r="T4" s="2">
        <v>27.6</v>
      </c>
      <c r="U4" s="2">
        <v>25.31</v>
      </c>
      <c r="V4" s="2">
        <v>26.83</v>
      </c>
      <c r="W4" s="2">
        <v>25.21</v>
      </c>
      <c r="X4" s="2">
        <v>28.7</v>
      </c>
      <c r="Y4" s="2">
        <v>24.8</v>
      </c>
      <c r="Z4" s="2">
        <v>24.4</v>
      </c>
      <c r="AA4" s="2">
        <v>24.7</v>
      </c>
      <c r="AB4" s="2">
        <v>40</v>
      </c>
      <c r="AC4" s="2">
        <v>26.8</v>
      </c>
      <c r="AD4" s="2">
        <v>34.24</v>
      </c>
      <c r="AE4" s="2">
        <v>26.71</v>
      </c>
      <c r="AF4" s="2">
        <v>40</v>
      </c>
      <c r="AG4" s="2">
        <v>26.78</v>
      </c>
      <c r="AH4" s="2">
        <v>34.020000000000003</v>
      </c>
      <c r="AI4" s="2">
        <v>26.88</v>
      </c>
      <c r="AJ4" s="2">
        <v>40</v>
      </c>
      <c r="AK4" s="2">
        <v>26.58</v>
      </c>
      <c r="AL4" s="1" t="s">
        <v>66</v>
      </c>
      <c r="AM4" s="61">
        <f t="shared" si="0"/>
        <v>4.9313665982019111E-3</v>
      </c>
      <c r="AP4" s="1" t="s">
        <v>41</v>
      </c>
      <c r="AQ4" s="1" t="s">
        <v>66</v>
      </c>
      <c r="AR4" s="46">
        <f t="shared" si="9"/>
        <v>2.2900000000000027</v>
      </c>
      <c r="AS4" s="46">
        <f t="shared" si="10"/>
        <v>1.6199999999999974</v>
      </c>
      <c r="AT4" s="46">
        <f t="shared" si="11"/>
        <v>3.8999999999999986</v>
      </c>
      <c r="AU4" s="46">
        <f t="shared" si="12"/>
        <v>-0.30000000000000071</v>
      </c>
      <c r="AV4" s="46">
        <f t="shared" si="13"/>
        <v>13.2</v>
      </c>
      <c r="AW4" s="46">
        <f t="shared" si="14"/>
        <v>7.5300000000000011</v>
      </c>
      <c r="AX4" s="46">
        <f t="shared" si="15"/>
        <v>13.219999999999999</v>
      </c>
      <c r="AY4" s="46">
        <f t="shared" si="16"/>
        <v>7.1400000000000041</v>
      </c>
      <c r="AZ4" s="46">
        <f t="shared" si="17"/>
        <v>13.420000000000002</v>
      </c>
      <c r="BA4" s="46"/>
      <c r="BB4" s="1" t="s">
        <v>41</v>
      </c>
      <c r="BC4" s="1" t="s">
        <v>66</v>
      </c>
      <c r="BD4" s="46" t="e">
        <f>AR4*#REF!</f>
        <v>#REF!</v>
      </c>
      <c r="BE4" s="46" t="e">
        <f>AS4*#REF!</f>
        <v>#REF!</v>
      </c>
      <c r="BF4" s="46" t="e">
        <f>AT4*#REF!</f>
        <v>#REF!</v>
      </c>
      <c r="BG4" s="46" t="e">
        <f>AU4*#REF!</f>
        <v>#REF!</v>
      </c>
      <c r="BH4" s="46" t="e">
        <f>AV4*#REF!</f>
        <v>#REF!</v>
      </c>
      <c r="BI4" s="46" t="e">
        <f>AW4*#REF!</f>
        <v>#REF!</v>
      </c>
      <c r="BJ4" s="46" t="e">
        <f>AX4*#REF!</f>
        <v>#REF!</v>
      </c>
      <c r="BK4" s="46" t="e">
        <f>AY4*#REF!</f>
        <v>#REF!</v>
      </c>
      <c r="BL4" s="46" t="e">
        <f>AZ4*#REF!</f>
        <v>#REF!</v>
      </c>
      <c r="BM4" s="46" t="e">
        <f t="shared" si="18"/>
        <v>#REF!</v>
      </c>
      <c r="BN4" s="82" t="e">
        <f t="shared" si="19"/>
        <v>#REF!</v>
      </c>
      <c r="BP4" s="64">
        <v>4.9313665982019111E-3</v>
      </c>
      <c r="BQ4" s="64">
        <v>2.7575811174347909E-3</v>
      </c>
    </row>
    <row r="5" spans="1:69" ht="15" customHeight="1">
      <c r="A5" s="1" t="s">
        <v>45</v>
      </c>
      <c r="B5" s="1"/>
      <c r="C5" s="1">
        <v>14</v>
      </c>
      <c r="D5" s="1" t="s">
        <v>8</v>
      </c>
      <c r="E5" s="18"/>
      <c r="F5" s="1"/>
      <c r="G5" s="1"/>
      <c r="H5" s="1" t="s">
        <v>42</v>
      </c>
      <c r="I5" s="1" t="s">
        <v>66</v>
      </c>
      <c r="J5" s="1">
        <v>65</v>
      </c>
      <c r="K5" s="1" t="s">
        <v>4</v>
      </c>
      <c r="L5" s="1"/>
      <c r="M5" s="1"/>
      <c r="N5" s="1"/>
      <c r="O5" s="1">
        <v>10.199999999999999</v>
      </c>
      <c r="P5" s="1">
        <v>1.18</v>
      </c>
      <c r="Q5" s="1">
        <v>0.36</v>
      </c>
      <c r="R5" s="1">
        <v>50</v>
      </c>
      <c r="S5" s="1" t="s">
        <v>92</v>
      </c>
      <c r="T5" s="2">
        <v>26.93</v>
      </c>
      <c r="U5" s="2">
        <v>24.84</v>
      </c>
      <c r="V5" s="2">
        <v>26.47</v>
      </c>
      <c r="W5" s="2">
        <v>24.79</v>
      </c>
      <c r="X5" s="2">
        <v>32.619999999999997</v>
      </c>
      <c r="Y5" s="2">
        <v>24.71</v>
      </c>
      <c r="Z5" s="2">
        <v>25.37</v>
      </c>
      <c r="AA5" s="2">
        <v>24.47</v>
      </c>
      <c r="AB5" s="2">
        <v>40</v>
      </c>
      <c r="AC5" s="2">
        <v>26.32</v>
      </c>
      <c r="AD5" s="2">
        <v>34.28</v>
      </c>
      <c r="AE5" s="2">
        <v>26.34</v>
      </c>
      <c r="AF5" s="2">
        <v>40</v>
      </c>
      <c r="AG5" s="2">
        <v>26.11</v>
      </c>
      <c r="AH5" s="2">
        <v>34.47</v>
      </c>
      <c r="AI5" s="2">
        <v>26.43</v>
      </c>
      <c r="AJ5" s="2">
        <v>39.75</v>
      </c>
      <c r="AK5" s="2">
        <v>26.05</v>
      </c>
      <c r="AL5" s="1" t="s">
        <v>66</v>
      </c>
      <c r="AM5" s="61">
        <f t="shared" si="0"/>
        <v>1.1095786726981601E-3</v>
      </c>
      <c r="AP5" s="1" t="s">
        <v>42</v>
      </c>
      <c r="AQ5" s="1" t="s">
        <v>66</v>
      </c>
      <c r="AR5" s="46">
        <f t="shared" si="9"/>
        <v>2.09</v>
      </c>
      <c r="AS5" s="46">
        <f t="shared" si="10"/>
        <v>1.6799999999999997</v>
      </c>
      <c r="AT5" s="46">
        <f t="shared" si="11"/>
        <v>7.9099999999999966</v>
      </c>
      <c r="AU5" s="46">
        <f t="shared" si="12"/>
        <v>0.90000000000000213</v>
      </c>
      <c r="AV5" s="46">
        <f t="shared" si="13"/>
        <v>13.68</v>
      </c>
      <c r="AW5" s="46">
        <f t="shared" si="14"/>
        <v>7.9400000000000013</v>
      </c>
      <c r="AX5" s="46">
        <f t="shared" si="15"/>
        <v>13.89</v>
      </c>
      <c r="AY5" s="46">
        <f t="shared" si="16"/>
        <v>8.0399999999999991</v>
      </c>
      <c r="AZ5" s="46">
        <f t="shared" si="17"/>
        <v>13.7</v>
      </c>
      <c r="BA5" s="46"/>
      <c r="BB5" s="1" t="s">
        <v>42</v>
      </c>
      <c r="BC5" s="1" t="s">
        <v>66</v>
      </c>
      <c r="BD5" s="46" t="e">
        <f>AR5*#REF!</f>
        <v>#REF!</v>
      </c>
      <c r="BE5" s="46" t="e">
        <f>AS5*#REF!</f>
        <v>#REF!</v>
      </c>
      <c r="BF5" s="46" t="e">
        <f>AT5*#REF!</f>
        <v>#REF!</v>
      </c>
      <c r="BG5" s="46" t="e">
        <f>AU5*#REF!</f>
        <v>#REF!</v>
      </c>
      <c r="BH5" s="46" t="e">
        <f>AV5*#REF!</f>
        <v>#REF!</v>
      </c>
      <c r="BI5" s="46" t="e">
        <f>AW5*#REF!</f>
        <v>#REF!</v>
      </c>
      <c r="BJ5" s="46" t="e">
        <f>AX5*#REF!</f>
        <v>#REF!</v>
      </c>
      <c r="BK5" s="46" t="e">
        <f>AY5*#REF!</f>
        <v>#REF!</v>
      </c>
      <c r="BL5" s="46" t="e">
        <f>AZ5*#REF!</f>
        <v>#REF!</v>
      </c>
      <c r="BM5" s="46" t="e">
        <f t="shared" si="18"/>
        <v>#REF!</v>
      </c>
      <c r="BN5" s="82" t="e">
        <f t="shared" si="19"/>
        <v>#REF!</v>
      </c>
      <c r="BP5" s="64">
        <v>1.1095786726981601E-3</v>
      </c>
      <c r="BQ5" s="64">
        <v>5.1243249954137848E-4</v>
      </c>
    </row>
    <row r="6" spans="1:69" ht="15" customHeight="1">
      <c r="A6" s="1" t="s">
        <v>45</v>
      </c>
      <c r="B6" s="1"/>
      <c r="C6" s="1">
        <v>15</v>
      </c>
      <c r="D6" s="1" t="s">
        <v>9</v>
      </c>
      <c r="E6" s="18"/>
      <c r="F6" s="1"/>
      <c r="G6" s="1"/>
      <c r="H6" s="1" t="s">
        <v>43</v>
      </c>
      <c r="I6" s="1" t="s">
        <v>66</v>
      </c>
      <c r="J6" s="1">
        <v>57</v>
      </c>
      <c r="K6" s="1" t="s">
        <v>4</v>
      </c>
      <c r="L6" s="1"/>
      <c r="M6" s="1"/>
      <c r="N6" s="1"/>
      <c r="O6" s="1">
        <v>9.1999999999999993</v>
      </c>
      <c r="P6" s="1">
        <v>1.1399999999999999</v>
      </c>
      <c r="Q6" s="1">
        <v>0.32</v>
      </c>
      <c r="R6" s="1">
        <v>50</v>
      </c>
      <c r="S6" s="1" t="s">
        <v>93</v>
      </c>
      <c r="T6" s="2">
        <v>28.31</v>
      </c>
      <c r="U6" s="2">
        <v>25.05</v>
      </c>
      <c r="V6" s="2">
        <v>27.33</v>
      </c>
      <c r="W6" s="2">
        <v>24.89</v>
      </c>
      <c r="X6" s="2">
        <v>30.84</v>
      </c>
      <c r="Y6" s="2">
        <v>24.95</v>
      </c>
      <c r="Z6" s="2">
        <v>25.23</v>
      </c>
      <c r="AA6" s="2">
        <v>24.86</v>
      </c>
      <c r="AB6" s="2">
        <v>40</v>
      </c>
      <c r="AC6" s="2">
        <v>26.61</v>
      </c>
      <c r="AD6" s="2">
        <v>37.07</v>
      </c>
      <c r="AE6" s="2">
        <v>26.84</v>
      </c>
      <c r="AF6" s="2">
        <v>39.369999999999997</v>
      </c>
      <c r="AG6" s="2">
        <v>26.61</v>
      </c>
      <c r="AH6" s="2">
        <v>34.82</v>
      </c>
      <c r="AI6" s="2">
        <v>33.25</v>
      </c>
      <c r="AJ6" s="2">
        <v>40</v>
      </c>
      <c r="AK6" s="2">
        <v>26.66</v>
      </c>
      <c r="AL6" s="1" t="s">
        <v>66</v>
      </c>
      <c r="AM6" s="61">
        <f t="shared" si="0"/>
        <v>1.8362560247581015E-2</v>
      </c>
      <c r="AP6" s="1" t="s">
        <v>43</v>
      </c>
      <c r="AQ6" s="1" t="s">
        <v>66</v>
      </c>
      <c r="AR6" s="46">
        <f t="shared" si="9"/>
        <v>3.259999999999998</v>
      </c>
      <c r="AS6" s="46">
        <f t="shared" si="10"/>
        <v>2.4399999999999977</v>
      </c>
      <c r="AT6" s="46">
        <f t="shared" si="11"/>
        <v>5.8900000000000006</v>
      </c>
      <c r="AU6" s="46">
        <f t="shared" si="12"/>
        <v>0.37000000000000099</v>
      </c>
      <c r="AV6" s="46">
        <f t="shared" si="13"/>
        <v>13.39</v>
      </c>
      <c r="AW6" s="46">
        <f t="shared" si="14"/>
        <v>10.23</v>
      </c>
      <c r="AX6" s="46">
        <f t="shared" si="15"/>
        <v>12.759999999999998</v>
      </c>
      <c r="AY6" s="46">
        <f t="shared" si="16"/>
        <v>1.5700000000000003</v>
      </c>
      <c r="AZ6" s="46">
        <f t="shared" si="17"/>
        <v>13.34</v>
      </c>
      <c r="BA6" s="46"/>
      <c r="BB6" s="1" t="s">
        <v>43</v>
      </c>
      <c r="BC6" s="1" t="s">
        <v>66</v>
      </c>
      <c r="BD6" s="46" t="e">
        <f>AR6*#REF!</f>
        <v>#REF!</v>
      </c>
      <c r="BE6" s="46" t="e">
        <f>AS6*#REF!</f>
        <v>#REF!</v>
      </c>
      <c r="BF6" s="46" t="e">
        <f>AT6*#REF!</f>
        <v>#REF!</v>
      </c>
      <c r="BG6" s="46" t="e">
        <f>AU6*#REF!</f>
        <v>#REF!</v>
      </c>
      <c r="BH6" s="46" t="e">
        <f>AV6*#REF!</f>
        <v>#REF!</v>
      </c>
      <c r="BI6" s="46" t="e">
        <f>AW6*#REF!</f>
        <v>#REF!</v>
      </c>
      <c r="BJ6" s="46" t="e">
        <f>AX6*#REF!</f>
        <v>#REF!</v>
      </c>
      <c r="BK6" s="46" t="e">
        <f>AY6*#REF!</f>
        <v>#REF!</v>
      </c>
      <c r="BL6" s="46" t="e">
        <f>AZ6*#REF!</f>
        <v>#REF!</v>
      </c>
      <c r="BM6" s="46" t="e">
        <f t="shared" si="18"/>
        <v>#REF!</v>
      </c>
      <c r="BN6" s="82" t="e">
        <f t="shared" si="19"/>
        <v>#REF!</v>
      </c>
      <c r="BP6" s="64">
        <v>1.8362560247581015E-2</v>
      </c>
      <c r="BQ6" s="64">
        <v>8.1789817778152203E-3</v>
      </c>
    </row>
    <row r="7" spans="1:69" ht="15" customHeight="1">
      <c r="A7" s="1" t="s">
        <v>48</v>
      </c>
      <c r="B7" s="1"/>
      <c r="C7" s="1">
        <v>16</v>
      </c>
      <c r="D7" s="1" t="s">
        <v>65</v>
      </c>
      <c r="E7" s="18"/>
      <c r="F7" s="1"/>
      <c r="G7" s="1"/>
      <c r="H7" s="1" t="s">
        <v>64</v>
      </c>
      <c r="I7" s="1" t="s">
        <v>66</v>
      </c>
      <c r="J7" s="1">
        <v>67</v>
      </c>
      <c r="K7" s="1" t="s">
        <v>4</v>
      </c>
      <c r="L7" s="1"/>
      <c r="M7" s="1"/>
      <c r="N7" s="1"/>
      <c r="O7" s="1">
        <v>21</v>
      </c>
      <c r="P7" s="1">
        <v>1.33</v>
      </c>
      <c r="Q7" s="1">
        <v>0.42</v>
      </c>
      <c r="R7" s="1">
        <v>50</v>
      </c>
      <c r="S7" s="1" t="s">
        <v>94</v>
      </c>
      <c r="T7" s="2">
        <v>29.11</v>
      </c>
      <c r="U7" s="2">
        <v>26.3</v>
      </c>
      <c r="V7" s="2">
        <v>28.55</v>
      </c>
      <c r="W7" s="2">
        <v>26.32</v>
      </c>
      <c r="X7" s="2">
        <v>28.72</v>
      </c>
      <c r="Y7" s="2">
        <v>26.02</v>
      </c>
      <c r="Z7" s="2">
        <v>24.35</v>
      </c>
      <c r="AA7" s="2">
        <v>26.04</v>
      </c>
      <c r="AB7" s="2">
        <v>40</v>
      </c>
      <c r="AC7" s="2">
        <v>27.94</v>
      </c>
      <c r="AD7" s="2">
        <v>38.409999999999997</v>
      </c>
      <c r="AE7" s="2">
        <v>28.05</v>
      </c>
      <c r="AF7" s="2">
        <v>40</v>
      </c>
      <c r="AG7" s="2">
        <v>27.87</v>
      </c>
      <c r="AH7" s="2">
        <v>36.43</v>
      </c>
      <c r="AI7" s="2">
        <v>27.88</v>
      </c>
      <c r="AJ7" s="2">
        <v>40</v>
      </c>
      <c r="AK7" s="2">
        <v>27.92</v>
      </c>
      <c r="AL7" s="1" t="s">
        <v>66</v>
      </c>
      <c r="AM7" s="61">
        <f t="shared" si="0"/>
        <v>6.8388818758591971E-2</v>
      </c>
      <c r="AP7" s="1" t="s">
        <v>64</v>
      </c>
      <c r="AQ7" s="1" t="s">
        <v>66</v>
      </c>
      <c r="AR7" s="46">
        <f t="shared" si="9"/>
        <v>2.8099999999999987</v>
      </c>
      <c r="AS7" s="46">
        <f t="shared" si="10"/>
        <v>2.2300000000000004</v>
      </c>
      <c r="AT7" s="46">
        <f t="shared" si="11"/>
        <v>2.6999999999999993</v>
      </c>
      <c r="AU7" s="46">
        <f t="shared" si="12"/>
        <v>-1.6899999999999977</v>
      </c>
      <c r="AV7" s="46">
        <f t="shared" si="13"/>
        <v>12.059999999999999</v>
      </c>
      <c r="AW7" s="46">
        <f t="shared" si="14"/>
        <v>10.359999999999996</v>
      </c>
      <c r="AX7" s="46">
        <f t="shared" si="15"/>
        <v>12.129999999999999</v>
      </c>
      <c r="AY7" s="46">
        <f t="shared" si="16"/>
        <v>8.5500000000000007</v>
      </c>
      <c r="AZ7" s="46">
        <f t="shared" si="17"/>
        <v>12.079999999999998</v>
      </c>
      <c r="BA7" s="46"/>
      <c r="BB7" s="1" t="s">
        <v>64</v>
      </c>
      <c r="BC7" s="1" t="s">
        <v>66</v>
      </c>
      <c r="BD7" s="46" t="e">
        <f>AR7*#REF!</f>
        <v>#REF!</v>
      </c>
      <c r="BE7" s="46" t="e">
        <f>AS7*#REF!</f>
        <v>#REF!</v>
      </c>
      <c r="BF7" s="46" t="e">
        <f>AT7*#REF!</f>
        <v>#REF!</v>
      </c>
      <c r="BG7" s="46" t="e">
        <f>AU7*#REF!</f>
        <v>#REF!</v>
      </c>
      <c r="BH7" s="46" t="e">
        <f>AV7*#REF!</f>
        <v>#REF!</v>
      </c>
      <c r="BI7" s="46" t="e">
        <f>AW7*#REF!</f>
        <v>#REF!</v>
      </c>
      <c r="BJ7" s="46" t="e">
        <f>AX7*#REF!</f>
        <v>#REF!</v>
      </c>
      <c r="BK7" s="46" t="e">
        <f>AY7*#REF!</f>
        <v>#REF!</v>
      </c>
      <c r="BL7" s="46" t="e">
        <f>AZ7*#REF!</f>
        <v>#REF!</v>
      </c>
      <c r="BM7" s="46" t="e">
        <f t="shared" si="18"/>
        <v>#REF!</v>
      </c>
      <c r="BN7" s="82" t="e">
        <f t="shared" si="19"/>
        <v>#REF!</v>
      </c>
      <c r="BP7" s="64">
        <v>6.8388818758591971E-2</v>
      </c>
      <c r="BQ7" s="64">
        <v>4.1263218641178689E-3</v>
      </c>
    </row>
    <row r="8" spans="1:69" ht="15" customHeight="1">
      <c r="A8" s="1" t="s">
        <v>47</v>
      </c>
      <c r="B8" s="1"/>
      <c r="C8" s="1">
        <v>17</v>
      </c>
      <c r="D8" s="1" t="s">
        <v>68</v>
      </c>
      <c r="E8" s="18"/>
      <c r="F8" s="1"/>
      <c r="G8" s="1"/>
      <c r="H8" s="1" t="s">
        <v>67</v>
      </c>
      <c r="I8" s="1" t="s">
        <v>66</v>
      </c>
      <c r="J8" s="1">
        <v>56</v>
      </c>
      <c r="K8" s="1" t="s">
        <v>4</v>
      </c>
      <c r="L8" s="1"/>
      <c r="M8" s="1"/>
      <c r="N8" s="1"/>
      <c r="O8" s="1">
        <v>14</v>
      </c>
      <c r="P8" s="1">
        <v>1.25</v>
      </c>
      <c r="Q8" s="1">
        <v>0.38</v>
      </c>
      <c r="R8" s="1">
        <v>50</v>
      </c>
      <c r="S8" s="1" t="s">
        <v>95</v>
      </c>
      <c r="T8" s="2">
        <v>25.74</v>
      </c>
      <c r="U8" s="2">
        <v>25.8</v>
      </c>
      <c r="V8" s="2">
        <v>25.22</v>
      </c>
      <c r="W8" s="2">
        <v>25.96</v>
      </c>
      <c r="X8" s="2">
        <v>25.9</v>
      </c>
      <c r="Y8" s="2">
        <v>25.21</v>
      </c>
      <c r="Z8" s="2">
        <v>23.96</v>
      </c>
      <c r="AA8" s="2">
        <v>25.57</v>
      </c>
      <c r="AB8" s="2">
        <v>37.78</v>
      </c>
      <c r="AC8" s="2">
        <v>27.21</v>
      </c>
      <c r="AD8" s="2">
        <v>31.11</v>
      </c>
      <c r="AE8" s="2">
        <v>24.93</v>
      </c>
      <c r="AF8" s="2">
        <v>32.21</v>
      </c>
      <c r="AG8" s="2">
        <v>24.86</v>
      </c>
      <c r="AH8" s="2">
        <v>30.47</v>
      </c>
      <c r="AI8" s="2">
        <v>24.99</v>
      </c>
      <c r="AJ8" s="2">
        <v>33.64</v>
      </c>
      <c r="AK8" s="2">
        <v>24.89</v>
      </c>
      <c r="AL8" s="1" t="s">
        <v>66</v>
      </c>
      <c r="AM8" s="61">
        <f t="shared" si="0"/>
        <v>53.777711994078594</v>
      </c>
      <c r="AP8" s="1" t="s">
        <v>67</v>
      </c>
      <c r="AQ8" s="1" t="s">
        <v>66</v>
      </c>
      <c r="AR8" s="46">
        <f t="shared" si="9"/>
        <v>-6.0000000000002274E-2</v>
      </c>
      <c r="AS8" s="46">
        <f t="shared" si="10"/>
        <v>-0.74000000000000199</v>
      </c>
      <c r="AT8" s="46">
        <f t="shared" si="11"/>
        <v>0.68999999999999773</v>
      </c>
      <c r="AU8" s="46">
        <f t="shared" si="12"/>
        <v>-1.6099999999999994</v>
      </c>
      <c r="AV8" s="46">
        <f t="shared" si="13"/>
        <v>10.57</v>
      </c>
      <c r="AW8" s="46">
        <f t="shared" si="14"/>
        <v>6.18</v>
      </c>
      <c r="AX8" s="46">
        <f t="shared" si="15"/>
        <v>7.3500000000000014</v>
      </c>
      <c r="AY8" s="46">
        <f t="shared" si="16"/>
        <v>5.48</v>
      </c>
      <c r="AZ8" s="46">
        <f t="shared" si="17"/>
        <v>8.75</v>
      </c>
      <c r="BA8" s="46"/>
      <c r="BB8" s="1" t="s">
        <v>67</v>
      </c>
      <c r="BC8" s="1" t="s">
        <v>66</v>
      </c>
      <c r="BD8" s="46" t="e">
        <f>AR8*#REF!</f>
        <v>#REF!</v>
      </c>
      <c r="BE8" s="46" t="e">
        <f>AS8*#REF!</f>
        <v>#REF!</v>
      </c>
      <c r="BF8" s="46" t="e">
        <f>AT8*#REF!</f>
        <v>#REF!</v>
      </c>
      <c r="BG8" s="46" t="e">
        <f>AU8*#REF!</f>
        <v>#REF!</v>
      </c>
      <c r="BH8" s="46" t="e">
        <f>AV8*#REF!</f>
        <v>#REF!</v>
      </c>
      <c r="BI8" s="46" t="e">
        <f>AW8*#REF!</f>
        <v>#REF!</v>
      </c>
      <c r="BJ8" s="46" t="e">
        <f>AX8*#REF!</f>
        <v>#REF!</v>
      </c>
      <c r="BK8" s="46" t="e">
        <f>AY8*#REF!</f>
        <v>#REF!</v>
      </c>
      <c r="BL8" s="46" t="e">
        <f>AZ8*#REF!</f>
        <v>#REF!</v>
      </c>
      <c r="BM8" s="46" t="e">
        <f t="shared" si="18"/>
        <v>#REF!</v>
      </c>
      <c r="BN8" s="82" t="e">
        <f t="shared" si="19"/>
        <v>#REF!</v>
      </c>
      <c r="BO8" s="74" t="s">
        <v>548</v>
      </c>
      <c r="BP8" s="64">
        <v>53.777711994078594</v>
      </c>
      <c r="BQ8" s="64">
        <v>0.63709160382215757</v>
      </c>
    </row>
    <row r="9" spans="1:69" ht="15" customHeight="1">
      <c r="A9" s="1" t="s">
        <v>47</v>
      </c>
      <c r="B9" s="1"/>
      <c r="C9" s="1">
        <v>18</v>
      </c>
      <c r="D9" s="1" t="s">
        <v>70</v>
      </c>
      <c r="E9" s="18"/>
      <c r="F9" s="1"/>
      <c r="G9" s="1"/>
      <c r="H9" s="1" t="s">
        <v>69</v>
      </c>
      <c r="I9" s="1" t="s">
        <v>66</v>
      </c>
      <c r="J9" s="1">
        <v>74</v>
      </c>
      <c r="K9" s="1" t="s">
        <v>4</v>
      </c>
      <c r="L9" s="1"/>
      <c r="M9" s="1"/>
      <c r="N9" s="1"/>
      <c r="O9" s="1">
        <v>19.7</v>
      </c>
      <c r="P9" s="1">
        <v>1.3</v>
      </c>
      <c r="Q9" s="1">
        <v>0.41</v>
      </c>
      <c r="R9" s="1">
        <v>50</v>
      </c>
      <c r="S9" s="1" t="s">
        <v>96</v>
      </c>
      <c r="T9" s="2">
        <v>28.67</v>
      </c>
      <c r="U9" s="2">
        <v>26.85</v>
      </c>
      <c r="V9" s="2">
        <v>27.64</v>
      </c>
      <c r="W9" s="2">
        <v>26.95</v>
      </c>
      <c r="X9" s="2">
        <v>27.9</v>
      </c>
      <c r="Y9" s="2">
        <v>26.43</v>
      </c>
      <c r="Z9" s="2">
        <v>25.3</v>
      </c>
      <c r="AA9" s="2">
        <v>26.58</v>
      </c>
      <c r="AB9" s="2">
        <v>40</v>
      </c>
      <c r="AC9" s="2">
        <v>28.65</v>
      </c>
      <c r="AD9" s="2">
        <v>35.15</v>
      </c>
      <c r="AE9" s="2">
        <v>26.15</v>
      </c>
      <c r="AF9" s="2">
        <v>36.04</v>
      </c>
      <c r="AG9" s="2">
        <v>26.04</v>
      </c>
      <c r="AH9" s="2">
        <v>33.14</v>
      </c>
      <c r="AI9" s="2">
        <v>26.07</v>
      </c>
      <c r="AJ9" s="2">
        <v>37.6</v>
      </c>
      <c r="AK9" s="2">
        <v>26.05</v>
      </c>
      <c r="AL9" s="1" t="s">
        <v>66</v>
      </c>
      <c r="AM9" s="61">
        <f t="shared" si="0"/>
        <v>2.2957241403035309</v>
      </c>
      <c r="AP9" s="1" t="s">
        <v>69</v>
      </c>
      <c r="AQ9" s="1" t="s">
        <v>66</v>
      </c>
      <c r="AR9" s="46">
        <f t="shared" si="9"/>
        <v>1.8200000000000003</v>
      </c>
      <c r="AS9" s="46">
        <f t="shared" si="10"/>
        <v>0.69000000000000128</v>
      </c>
      <c r="AT9" s="46">
        <f t="shared" si="11"/>
        <v>1.4699999999999989</v>
      </c>
      <c r="AU9" s="46">
        <f t="shared" si="12"/>
        <v>-1.2799999999999976</v>
      </c>
      <c r="AV9" s="46">
        <f t="shared" si="13"/>
        <v>11.350000000000001</v>
      </c>
      <c r="AW9" s="46">
        <f t="shared" si="14"/>
        <v>9</v>
      </c>
      <c r="AX9" s="46">
        <f t="shared" si="15"/>
        <v>10</v>
      </c>
      <c r="AY9" s="46">
        <f t="shared" si="16"/>
        <v>7.07</v>
      </c>
      <c r="AZ9" s="46">
        <f t="shared" si="17"/>
        <v>11.55</v>
      </c>
      <c r="BA9" s="46"/>
      <c r="BB9" s="1" t="s">
        <v>69</v>
      </c>
      <c r="BC9" s="1" t="s">
        <v>66</v>
      </c>
      <c r="BD9" s="46" t="e">
        <f>AR9*#REF!</f>
        <v>#REF!</v>
      </c>
      <c r="BE9" s="46" t="e">
        <f>AS9*#REF!</f>
        <v>#REF!</v>
      </c>
      <c r="BF9" s="46" t="e">
        <f>AT9*#REF!</f>
        <v>#REF!</v>
      </c>
      <c r="BG9" s="46" t="e">
        <f>AU9*#REF!</f>
        <v>#REF!</v>
      </c>
      <c r="BH9" s="46" t="e">
        <f>AV9*#REF!</f>
        <v>#REF!</v>
      </c>
      <c r="BI9" s="46" t="e">
        <f>AW9*#REF!</f>
        <v>#REF!</v>
      </c>
      <c r="BJ9" s="46" t="e">
        <f>AX9*#REF!</f>
        <v>#REF!</v>
      </c>
      <c r="BK9" s="46" t="e">
        <f>AY9*#REF!</f>
        <v>#REF!</v>
      </c>
      <c r="BL9" s="46" t="e">
        <f>AZ9*#REF!</f>
        <v>#REF!</v>
      </c>
      <c r="BM9" s="46" t="e">
        <f t="shared" si="18"/>
        <v>#REF!</v>
      </c>
      <c r="BN9" s="82" t="e">
        <f t="shared" si="19"/>
        <v>#REF!</v>
      </c>
      <c r="BP9" s="64">
        <v>2.2957241403035309</v>
      </c>
      <c r="BQ9" s="64">
        <v>8.6740275443932008E-2</v>
      </c>
    </row>
    <row r="10" spans="1:69" ht="15" customHeight="1">
      <c r="A10" s="1" t="s">
        <v>47</v>
      </c>
      <c r="B10" s="1"/>
      <c r="C10" s="1">
        <v>19</v>
      </c>
      <c r="D10" s="1" t="s">
        <v>72</v>
      </c>
      <c r="E10" s="18"/>
      <c r="F10" s="1"/>
      <c r="G10" s="1"/>
      <c r="H10" s="1" t="s">
        <v>71</v>
      </c>
      <c r="I10" s="1" t="s">
        <v>66</v>
      </c>
      <c r="J10" s="1">
        <v>58</v>
      </c>
      <c r="K10" s="1" t="s">
        <v>4</v>
      </c>
      <c r="L10" s="1"/>
      <c r="M10" s="1"/>
      <c r="N10" s="1"/>
      <c r="O10" s="1">
        <v>13.2</v>
      </c>
      <c r="P10" s="1">
        <v>1.2</v>
      </c>
      <c r="Q10" s="1">
        <v>0.35</v>
      </c>
      <c r="R10" s="1">
        <v>50</v>
      </c>
      <c r="S10" s="1" t="s">
        <v>97</v>
      </c>
      <c r="T10" s="2">
        <v>28.27</v>
      </c>
      <c r="U10" s="2">
        <v>26.06</v>
      </c>
      <c r="V10" s="2">
        <v>27.22</v>
      </c>
      <c r="W10" s="2">
        <v>26.26</v>
      </c>
      <c r="X10" s="2">
        <v>27.67</v>
      </c>
      <c r="Y10" s="2">
        <v>25.7</v>
      </c>
      <c r="Z10" s="2">
        <v>25.22</v>
      </c>
      <c r="AA10" s="2">
        <v>25.93</v>
      </c>
      <c r="AB10" s="2">
        <v>40</v>
      </c>
      <c r="AC10" s="2">
        <v>27.73</v>
      </c>
      <c r="AD10" s="2">
        <v>34.1</v>
      </c>
      <c r="AE10" s="2">
        <v>25.39</v>
      </c>
      <c r="AF10" s="2">
        <v>34.659999999999997</v>
      </c>
      <c r="AG10" s="2">
        <v>25.4</v>
      </c>
      <c r="AH10" s="2">
        <v>33.58</v>
      </c>
      <c r="AI10" s="2">
        <v>25.46</v>
      </c>
      <c r="AJ10" s="2">
        <v>36.83</v>
      </c>
      <c r="AK10" s="2">
        <v>25.34</v>
      </c>
      <c r="AL10" s="1" t="s">
        <v>66</v>
      </c>
      <c r="AM10" s="61">
        <f t="shared" si="0"/>
        <v>7.4344736695263007</v>
      </c>
      <c r="AP10" s="1" t="s">
        <v>71</v>
      </c>
      <c r="AQ10" s="1" t="s">
        <v>66</v>
      </c>
      <c r="AR10" s="46">
        <f t="shared" si="9"/>
        <v>2.2100000000000009</v>
      </c>
      <c r="AS10" s="46">
        <f t="shared" si="10"/>
        <v>0.9599999999999973</v>
      </c>
      <c r="AT10" s="46">
        <f t="shared" si="11"/>
        <v>1.9700000000000024</v>
      </c>
      <c r="AU10" s="46">
        <f t="shared" si="12"/>
        <v>-0.71000000000000085</v>
      </c>
      <c r="AV10" s="46">
        <f t="shared" si="13"/>
        <v>12.27</v>
      </c>
      <c r="AW10" s="46">
        <f t="shared" si="14"/>
        <v>8.7100000000000009</v>
      </c>
      <c r="AX10" s="46">
        <f t="shared" si="15"/>
        <v>9.259999999999998</v>
      </c>
      <c r="AY10" s="46">
        <f t="shared" si="16"/>
        <v>8.1199999999999974</v>
      </c>
      <c r="AZ10" s="46">
        <f t="shared" si="17"/>
        <v>11.489999999999998</v>
      </c>
      <c r="BA10" s="46"/>
      <c r="BB10" s="1" t="s">
        <v>71</v>
      </c>
      <c r="BC10" s="1" t="s">
        <v>66</v>
      </c>
      <c r="BD10" s="46" t="e">
        <f>AR10*#REF!</f>
        <v>#REF!</v>
      </c>
      <c r="BE10" s="46" t="e">
        <f>AS10*#REF!</f>
        <v>#REF!</v>
      </c>
      <c r="BF10" s="46" t="e">
        <f>AT10*#REF!</f>
        <v>#REF!</v>
      </c>
      <c r="BG10" s="46" t="e">
        <f>AU10*#REF!</f>
        <v>#REF!</v>
      </c>
      <c r="BH10" s="46" t="e">
        <f>AV10*#REF!</f>
        <v>#REF!</v>
      </c>
      <c r="BI10" s="46" t="e">
        <f>AW10*#REF!</f>
        <v>#REF!</v>
      </c>
      <c r="BJ10" s="46" t="e">
        <f>AX10*#REF!</f>
        <v>#REF!</v>
      </c>
      <c r="BK10" s="46" t="e">
        <f>AY10*#REF!</f>
        <v>#REF!</v>
      </c>
      <c r="BL10" s="46" t="e">
        <f>AZ10*#REF!</f>
        <v>#REF!</v>
      </c>
      <c r="BM10" s="46" t="e">
        <f t="shared" si="18"/>
        <v>#REF!</v>
      </c>
      <c r="BN10" s="82" t="e">
        <f t="shared" si="19"/>
        <v>#REF!</v>
      </c>
      <c r="BP10" s="64">
        <v>7.4344736695263007</v>
      </c>
      <c r="BQ10" s="64">
        <v>9.7863075201867156E-2</v>
      </c>
    </row>
    <row r="11" spans="1:69" ht="15" customHeight="1">
      <c r="A11" s="1" t="s">
        <v>47</v>
      </c>
      <c r="B11" s="1"/>
      <c r="C11" s="1">
        <v>20</v>
      </c>
      <c r="D11" s="1" t="s">
        <v>74</v>
      </c>
      <c r="E11" s="18"/>
      <c r="F11" s="1"/>
      <c r="G11" s="1"/>
      <c r="H11" s="1" t="s">
        <v>73</v>
      </c>
      <c r="I11" s="1" t="s">
        <v>66</v>
      </c>
      <c r="J11" s="1">
        <v>68</v>
      </c>
      <c r="K11" s="1" t="s">
        <v>4</v>
      </c>
      <c r="L11" s="1"/>
      <c r="M11" s="1"/>
      <c r="N11" s="1"/>
      <c r="O11" s="1">
        <v>15.1</v>
      </c>
      <c r="P11" s="1">
        <v>1.24</v>
      </c>
      <c r="Q11" s="1">
        <v>0.36</v>
      </c>
      <c r="R11" s="1">
        <v>50</v>
      </c>
      <c r="S11" s="1" t="s">
        <v>100</v>
      </c>
      <c r="T11" s="2">
        <v>27.94</v>
      </c>
      <c r="U11" s="2">
        <v>26.29</v>
      </c>
      <c r="V11" s="2">
        <v>26.98</v>
      </c>
      <c r="W11" s="2">
        <v>26.47</v>
      </c>
      <c r="X11" s="2">
        <v>27.77</v>
      </c>
      <c r="Y11" s="2">
        <v>25.89</v>
      </c>
      <c r="Z11" s="2">
        <v>24.27</v>
      </c>
      <c r="AA11" s="2">
        <v>26.07</v>
      </c>
      <c r="AB11" s="2">
        <v>40</v>
      </c>
      <c r="AC11" s="2">
        <v>28.15</v>
      </c>
      <c r="AD11" s="2">
        <v>38.43</v>
      </c>
      <c r="AE11" s="2">
        <v>25.78</v>
      </c>
      <c r="AF11" s="2">
        <v>36.67</v>
      </c>
      <c r="AG11" s="2">
        <v>25.57</v>
      </c>
      <c r="AH11" s="2">
        <v>34.97</v>
      </c>
      <c r="AI11" s="2">
        <v>25.76</v>
      </c>
      <c r="AJ11" s="2">
        <v>40</v>
      </c>
      <c r="AK11" s="2">
        <v>25.6</v>
      </c>
      <c r="AL11" s="1" t="s">
        <v>66</v>
      </c>
      <c r="AM11" s="61">
        <f t="shared" si="0"/>
        <v>0.27202704401272121</v>
      </c>
      <c r="AP11" s="1" t="s">
        <v>73</v>
      </c>
      <c r="AQ11" s="1" t="s">
        <v>66</v>
      </c>
      <c r="AR11" s="46">
        <f t="shared" si="9"/>
        <v>1.6500000000000021</v>
      </c>
      <c r="AS11" s="46">
        <f t="shared" si="10"/>
        <v>0.51000000000000156</v>
      </c>
      <c r="AT11" s="46">
        <f t="shared" si="11"/>
        <v>1.879999999999999</v>
      </c>
      <c r="AU11" s="46">
        <f t="shared" si="12"/>
        <v>-1.8000000000000007</v>
      </c>
      <c r="AV11" s="46">
        <f t="shared" si="13"/>
        <v>11.850000000000001</v>
      </c>
      <c r="AW11" s="46">
        <f t="shared" si="14"/>
        <v>12.649999999999999</v>
      </c>
      <c r="AX11" s="46">
        <f t="shared" si="15"/>
        <v>11.100000000000001</v>
      </c>
      <c r="AY11" s="46">
        <f t="shared" si="16"/>
        <v>9.2099999999999973</v>
      </c>
      <c r="AZ11" s="46">
        <f t="shared" si="17"/>
        <v>14.399999999999999</v>
      </c>
      <c r="BA11" s="46"/>
      <c r="BB11" s="1" t="s">
        <v>73</v>
      </c>
      <c r="BC11" s="1" t="s">
        <v>66</v>
      </c>
      <c r="BD11" s="46" t="e">
        <f>AR11*#REF!</f>
        <v>#REF!</v>
      </c>
      <c r="BE11" s="46" t="e">
        <f>AS11*#REF!</f>
        <v>#REF!</v>
      </c>
      <c r="BF11" s="46" t="e">
        <f>AT11*#REF!</f>
        <v>#REF!</v>
      </c>
      <c r="BG11" s="46" t="e">
        <f>AU11*#REF!</f>
        <v>#REF!</v>
      </c>
      <c r="BH11" s="46" t="e">
        <f>AV11*#REF!</f>
        <v>#REF!</v>
      </c>
      <c r="BI11" s="46" t="e">
        <f>AW11*#REF!</f>
        <v>#REF!</v>
      </c>
      <c r="BJ11" s="46" t="e">
        <f>AX11*#REF!</f>
        <v>#REF!</v>
      </c>
      <c r="BK11" s="46" t="e">
        <f>AY11*#REF!</f>
        <v>#REF!</v>
      </c>
      <c r="BL11" s="46" t="e">
        <f>AZ11*#REF!</f>
        <v>#REF!</v>
      </c>
      <c r="BM11" s="46" t="e">
        <f t="shared" si="18"/>
        <v>#REF!</v>
      </c>
      <c r="BN11" s="82" t="e">
        <f t="shared" si="19"/>
        <v>#REF!</v>
      </c>
      <c r="BP11" s="64">
        <v>0.27202704401272121</v>
      </c>
      <c r="BQ11" s="64">
        <v>1.2816823088707744E-2</v>
      </c>
    </row>
    <row r="12" spans="1:69" s="52" customFormat="1" ht="15" customHeight="1">
      <c r="A12" s="47" t="s">
        <v>45</v>
      </c>
      <c r="B12" s="47"/>
      <c r="C12" s="47">
        <v>1</v>
      </c>
      <c r="D12" s="47" t="s">
        <v>12</v>
      </c>
      <c r="E12" s="48"/>
      <c r="F12" s="47" t="s">
        <v>13</v>
      </c>
      <c r="G12" s="49" t="s">
        <v>14</v>
      </c>
      <c r="H12" s="49" t="s">
        <v>34</v>
      </c>
      <c r="I12" s="47" t="s">
        <v>31</v>
      </c>
      <c r="J12" s="47">
        <v>63</v>
      </c>
      <c r="K12" s="47" t="s">
        <v>6</v>
      </c>
      <c r="L12" s="47">
        <v>19</v>
      </c>
      <c r="M12" s="47">
        <v>4</v>
      </c>
      <c r="N12" s="47">
        <v>9</v>
      </c>
      <c r="O12" s="47">
        <v>14.2</v>
      </c>
      <c r="P12" s="47">
        <v>1.26</v>
      </c>
      <c r="Q12" s="47">
        <v>0.42</v>
      </c>
      <c r="R12" s="47">
        <v>50</v>
      </c>
      <c r="S12" s="47" t="s">
        <v>101</v>
      </c>
      <c r="T12" s="50">
        <v>29.15</v>
      </c>
      <c r="U12" s="50">
        <v>25.8</v>
      </c>
      <c r="V12" s="50">
        <v>27.66</v>
      </c>
      <c r="W12" s="50">
        <v>25.72</v>
      </c>
      <c r="X12" s="50">
        <v>29.25</v>
      </c>
      <c r="Y12" s="50">
        <v>26</v>
      </c>
      <c r="Z12" s="50">
        <v>25.63</v>
      </c>
      <c r="AA12" s="50">
        <v>26.16</v>
      </c>
      <c r="AB12" s="51">
        <v>40</v>
      </c>
      <c r="AC12" s="51">
        <v>27.57</v>
      </c>
      <c r="AD12" s="51">
        <v>37.9</v>
      </c>
      <c r="AE12" s="51">
        <v>25.19</v>
      </c>
      <c r="AF12" s="51">
        <v>35.369999999999997</v>
      </c>
      <c r="AG12" s="51">
        <v>25.01</v>
      </c>
      <c r="AH12" s="51">
        <v>35.200000000000003</v>
      </c>
      <c r="AI12" s="51">
        <v>25.16</v>
      </c>
      <c r="AJ12" s="51">
        <v>39.4</v>
      </c>
      <c r="AK12" s="51">
        <v>25.12</v>
      </c>
      <c r="AL12" s="47" t="s">
        <v>31</v>
      </c>
      <c r="AM12" s="66">
        <f t="shared" si="0"/>
        <v>2.1696521053344684</v>
      </c>
      <c r="AN12" s="59" t="s">
        <v>542</v>
      </c>
      <c r="AO12" s="59"/>
      <c r="AP12" s="49" t="s">
        <v>34</v>
      </c>
      <c r="AQ12" s="47" t="s">
        <v>31</v>
      </c>
      <c r="AR12" s="44">
        <f t="shared" si="9"/>
        <v>3.3499999999999979</v>
      </c>
      <c r="AS12" s="44">
        <f t="shared" si="10"/>
        <v>1.9400000000000013</v>
      </c>
      <c r="AT12" s="44">
        <f t="shared" si="11"/>
        <v>3.25</v>
      </c>
      <c r="AU12" s="44">
        <f t="shared" si="12"/>
        <v>-0.53000000000000114</v>
      </c>
      <c r="AV12" s="44">
        <f t="shared" si="13"/>
        <v>12.43</v>
      </c>
      <c r="AW12" s="44">
        <f t="shared" si="14"/>
        <v>12.709999999999997</v>
      </c>
      <c r="AX12" s="44">
        <f t="shared" si="15"/>
        <v>10.359999999999996</v>
      </c>
      <c r="AY12" s="44">
        <f t="shared" si="16"/>
        <v>10.040000000000003</v>
      </c>
      <c r="AZ12" s="44">
        <f t="shared" si="17"/>
        <v>14.279999999999998</v>
      </c>
      <c r="BA12" s="44"/>
      <c r="BB12" s="49" t="s">
        <v>34</v>
      </c>
      <c r="BC12" s="47" t="s">
        <v>31</v>
      </c>
      <c r="BD12" s="44" t="e">
        <f>AR12*#REF!</f>
        <v>#REF!</v>
      </c>
      <c r="BE12" s="44" t="e">
        <f>AS12*#REF!</f>
        <v>#REF!</v>
      </c>
      <c r="BF12" s="44" t="e">
        <f>AT12*#REF!</f>
        <v>#REF!</v>
      </c>
      <c r="BG12" s="44" t="e">
        <f>AU12*#REF!</f>
        <v>#REF!</v>
      </c>
      <c r="BH12" s="44" t="e">
        <f>AV12*#REF!</f>
        <v>#REF!</v>
      </c>
      <c r="BI12" s="44" t="e">
        <f>AW12*#REF!</f>
        <v>#REF!</v>
      </c>
      <c r="BJ12" s="44" t="e">
        <f>AX12*#REF!</f>
        <v>#REF!</v>
      </c>
      <c r="BK12" s="44" t="e">
        <f>AY12*#REF!</f>
        <v>#REF!</v>
      </c>
      <c r="BL12" s="44" t="e">
        <f>AZ12*#REF!</f>
        <v>#REF!</v>
      </c>
      <c r="BM12" s="44" t="e">
        <f t="shared" si="18"/>
        <v>#REF!</v>
      </c>
      <c r="BN12" s="67" t="e">
        <f t="shared" si="19"/>
        <v>#REF!</v>
      </c>
      <c r="BO12" s="59" t="s">
        <v>542</v>
      </c>
      <c r="BP12" s="86">
        <v>2.1696521053344684</v>
      </c>
      <c r="BQ12" s="86">
        <v>1.8575346491820778E-2</v>
      </c>
    </row>
    <row r="13" spans="1:69" s="25" customFormat="1" ht="15" customHeight="1">
      <c r="A13" s="3" t="s">
        <v>45</v>
      </c>
      <c r="B13" s="3"/>
      <c r="C13" s="3">
        <v>2</v>
      </c>
      <c r="D13" s="3" t="s">
        <v>15</v>
      </c>
      <c r="E13" s="19"/>
      <c r="F13" s="3" t="s">
        <v>16</v>
      </c>
      <c r="G13" s="4" t="s">
        <v>17</v>
      </c>
      <c r="H13" s="4" t="s">
        <v>38</v>
      </c>
      <c r="I13" s="3" t="s">
        <v>31</v>
      </c>
      <c r="J13" s="3">
        <v>70</v>
      </c>
      <c r="K13" s="3" t="s">
        <v>6</v>
      </c>
      <c r="L13" s="3">
        <v>26</v>
      </c>
      <c r="M13" s="3">
        <v>3</v>
      </c>
      <c r="N13" s="3">
        <v>6</v>
      </c>
      <c r="O13" s="3">
        <v>9.6999999999999993</v>
      </c>
      <c r="P13" s="3">
        <v>1.1499999999999999</v>
      </c>
      <c r="Q13" s="3">
        <v>0.37</v>
      </c>
      <c r="R13" s="3">
        <v>50</v>
      </c>
      <c r="S13" s="3" t="s">
        <v>102</v>
      </c>
      <c r="T13" s="5">
        <v>25.08</v>
      </c>
      <c r="U13" s="5">
        <v>26.99</v>
      </c>
      <c r="V13" s="5">
        <v>23.95</v>
      </c>
      <c r="W13" s="5">
        <v>26.9</v>
      </c>
      <c r="X13" s="5">
        <v>28.01</v>
      </c>
      <c r="Y13" s="5">
        <v>26.89</v>
      </c>
      <c r="Z13" s="5">
        <v>23.88</v>
      </c>
      <c r="AA13" s="5">
        <v>27.19</v>
      </c>
      <c r="AB13" s="5">
        <v>37.81</v>
      </c>
      <c r="AC13" s="5">
        <v>28.65</v>
      </c>
      <c r="AD13" s="5">
        <v>30.98</v>
      </c>
      <c r="AE13" s="5">
        <v>26.27</v>
      </c>
      <c r="AF13" s="5">
        <v>32.08</v>
      </c>
      <c r="AG13" s="5">
        <v>26.09</v>
      </c>
      <c r="AH13" s="5">
        <v>29.37</v>
      </c>
      <c r="AI13" s="5">
        <v>25.84</v>
      </c>
      <c r="AJ13" s="5">
        <v>33.090000000000003</v>
      </c>
      <c r="AK13" s="5">
        <v>25.96</v>
      </c>
      <c r="AL13" s="3" t="s">
        <v>31</v>
      </c>
      <c r="AM13" s="68">
        <f t="shared" si="0"/>
        <v>88.163854096945428</v>
      </c>
      <c r="AP13" s="4" t="s">
        <v>38</v>
      </c>
      <c r="AQ13" s="3" t="s">
        <v>31</v>
      </c>
      <c r="AR13" s="44">
        <f t="shared" si="9"/>
        <v>-1.9100000000000001</v>
      </c>
      <c r="AS13" s="44">
        <f t="shared" si="10"/>
        <v>-2.9499999999999993</v>
      </c>
      <c r="AT13" s="44">
        <f t="shared" si="11"/>
        <v>1.120000000000001</v>
      </c>
      <c r="AU13" s="44">
        <f t="shared" si="12"/>
        <v>-3.3100000000000023</v>
      </c>
      <c r="AV13" s="44">
        <f t="shared" si="13"/>
        <v>9.1600000000000037</v>
      </c>
      <c r="AW13" s="44">
        <f t="shared" si="14"/>
        <v>4.7100000000000009</v>
      </c>
      <c r="AX13" s="44">
        <f t="shared" si="15"/>
        <v>5.9899999999999984</v>
      </c>
      <c r="AY13" s="44">
        <f t="shared" si="16"/>
        <v>3.5300000000000011</v>
      </c>
      <c r="AZ13" s="44">
        <f t="shared" si="17"/>
        <v>7.1300000000000026</v>
      </c>
      <c r="BA13" s="44"/>
      <c r="BB13" s="4" t="s">
        <v>38</v>
      </c>
      <c r="BC13" s="3" t="s">
        <v>31</v>
      </c>
      <c r="BD13" s="44" t="e">
        <f>AR13*#REF!</f>
        <v>#REF!</v>
      </c>
      <c r="BE13" s="44" t="e">
        <f>AS13*#REF!</f>
        <v>#REF!</v>
      </c>
      <c r="BF13" s="44" t="e">
        <f>AT13*#REF!</f>
        <v>#REF!</v>
      </c>
      <c r="BG13" s="44" t="e">
        <f>AU13*#REF!</f>
        <v>#REF!</v>
      </c>
      <c r="BH13" s="44" t="e">
        <f>AV13*#REF!</f>
        <v>#REF!</v>
      </c>
      <c r="BI13" s="44" t="e">
        <f>AW13*#REF!</f>
        <v>#REF!</v>
      </c>
      <c r="BJ13" s="44" t="e">
        <f>AX13*#REF!</f>
        <v>#REF!</v>
      </c>
      <c r="BK13" s="44" t="e">
        <f>AY13*#REF!</f>
        <v>#REF!</v>
      </c>
      <c r="BL13" s="44" t="e">
        <f>AZ13*#REF!</f>
        <v>#REF!</v>
      </c>
      <c r="BM13" s="44" t="e">
        <f t="shared" si="18"/>
        <v>#REF!</v>
      </c>
      <c r="BN13" s="83" t="e">
        <f t="shared" si="19"/>
        <v>#REF!</v>
      </c>
      <c r="BP13" s="87">
        <v>88.163854096945428</v>
      </c>
      <c r="BQ13" s="87">
        <v>0.87067025304545487</v>
      </c>
    </row>
    <row r="14" spans="1:69" s="25" customFormat="1" ht="15" customHeight="1">
      <c r="A14" s="3" t="s">
        <v>45</v>
      </c>
      <c r="B14" s="3"/>
      <c r="C14" s="3">
        <v>3</v>
      </c>
      <c r="D14" s="3" t="s">
        <v>18</v>
      </c>
      <c r="E14" s="19"/>
      <c r="F14" s="3" t="s">
        <v>19</v>
      </c>
      <c r="G14" s="4" t="s">
        <v>20</v>
      </c>
      <c r="H14" s="4" t="s">
        <v>35</v>
      </c>
      <c r="I14" s="3" t="s">
        <v>31</v>
      </c>
      <c r="J14" s="3">
        <v>75</v>
      </c>
      <c r="K14" s="3" t="s">
        <v>6</v>
      </c>
      <c r="L14" s="3">
        <v>19</v>
      </c>
      <c r="M14" s="3">
        <v>4</v>
      </c>
      <c r="N14" s="3">
        <v>9</v>
      </c>
      <c r="O14" s="3">
        <v>10.6</v>
      </c>
      <c r="P14" s="3">
        <v>1.1499999999999999</v>
      </c>
      <c r="Q14" s="3">
        <v>0.34</v>
      </c>
      <c r="R14" s="3">
        <v>50</v>
      </c>
      <c r="S14" s="3" t="s">
        <v>103</v>
      </c>
      <c r="T14" s="5">
        <v>26.76</v>
      </c>
      <c r="U14" s="5">
        <v>25.63</v>
      </c>
      <c r="V14" s="5">
        <v>25.66</v>
      </c>
      <c r="W14" s="5">
        <v>25.56</v>
      </c>
      <c r="X14" s="5">
        <v>28.04</v>
      </c>
      <c r="Y14" s="5">
        <v>25.63</v>
      </c>
      <c r="Z14" s="5">
        <v>24.33</v>
      </c>
      <c r="AA14" s="5">
        <v>25.73</v>
      </c>
      <c r="AB14" s="5">
        <v>35.32</v>
      </c>
      <c r="AC14" s="5">
        <v>27.14</v>
      </c>
      <c r="AD14" s="5">
        <v>30.54</v>
      </c>
      <c r="AE14" s="5">
        <v>24.75</v>
      </c>
      <c r="AF14" s="5">
        <v>28.42</v>
      </c>
      <c r="AG14" s="5">
        <v>24.7</v>
      </c>
      <c r="AH14" s="5">
        <v>30.59</v>
      </c>
      <c r="AI14" s="5">
        <v>24.93</v>
      </c>
      <c r="AJ14" s="5">
        <v>33.119999999999997</v>
      </c>
      <c r="AK14" s="5">
        <v>24.76</v>
      </c>
      <c r="AL14" s="3" t="s">
        <v>31</v>
      </c>
      <c r="AM14" s="68">
        <f t="shared" si="0"/>
        <v>99.9742733822589</v>
      </c>
      <c r="AP14" s="4" t="s">
        <v>35</v>
      </c>
      <c r="AQ14" s="3" t="s">
        <v>31</v>
      </c>
      <c r="AR14" s="44">
        <f t="shared" si="9"/>
        <v>1.1300000000000026</v>
      </c>
      <c r="AS14" s="44">
        <f t="shared" si="10"/>
        <v>0.10000000000000142</v>
      </c>
      <c r="AT14" s="44">
        <f t="shared" si="11"/>
        <v>2.41</v>
      </c>
      <c r="AU14" s="44">
        <f t="shared" si="12"/>
        <v>-1.4000000000000021</v>
      </c>
      <c r="AV14" s="44">
        <f t="shared" si="13"/>
        <v>8.18</v>
      </c>
      <c r="AW14" s="44">
        <f t="shared" si="14"/>
        <v>5.7899999999999991</v>
      </c>
      <c r="AX14" s="44">
        <f t="shared" si="15"/>
        <v>3.7200000000000024</v>
      </c>
      <c r="AY14" s="44">
        <f t="shared" si="16"/>
        <v>5.66</v>
      </c>
      <c r="AZ14" s="44">
        <f t="shared" si="17"/>
        <v>8.3599999999999959</v>
      </c>
      <c r="BA14" s="44"/>
      <c r="BB14" s="4" t="s">
        <v>35</v>
      </c>
      <c r="BC14" s="3" t="s">
        <v>31</v>
      </c>
      <c r="BD14" s="44" t="e">
        <f>AR14*#REF!</f>
        <v>#REF!</v>
      </c>
      <c r="BE14" s="44" t="e">
        <f>AS14*#REF!</f>
        <v>#REF!</v>
      </c>
      <c r="BF14" s="44" t="e">
        <f>AT14*#REF!</f>
        <v>#REF!</v>
      </c>
      <c r="BG14" s="44" t="e">
        <f>AU14*#REF!</f>
        <v>#REF!</v>
      </c>
      <c r="BH14" s="44" t="e">
        <f>AV14*#REF!</f>
        <v>#REF!</v>
      </c>
      <c r="BI14" s="44" t="e">
        <f>AW14*#REF!</f>
        <v>#REF!</v>
      </c>
      <c r="BJ14" s="44" t="e">
        <f>AX14*#REF!</f>
        <v>#REF!</v>
      </c>
      <c r="BK14" s="44" t="e">
        <f>AY14*#REF!</f>
        <v>#REF!</v>
      </c>
      <c r="BL14" s="44" t="e">
        <f>AZ14*#REF!</f>
        <v>#REF!</v>
      </c>
      <c r="BM14" s="44" t="e">
        <f t="shared" si="18"/>
        <v>#REF!</v>
      </c>
      <c r="BN14" s="83" t="e">
        <f t="shared" si="19"/>
        <v>#REF!</v>
      </c>
      <c r="BP14" s="87">
        <v>99.9742733822589</v>
      </c>
      <c r="BQ14" s="87">
        <v>0.98752254609625556</v>
      </c>
    </row>
    <row r="15" spans="1:69" s="25" customFormat="1" ht="15" customHeight="1">
      <c r="A15" s="3" t="s">
        <v>45</v>
      </c>
      <c r="B15" s="3"/>
      <c r="C15" s="3">
        <v>4</v>
      </c>
      <c r="D15" s="3" t="s">
        <v>21</v>
      </c>
      <c r="E15" s="19"/>
      <c r="F15" s="3" t="s">
        <v>22</v>
      </c>
      <c r="G15" s="4" t="s">
        <v>23</v>
      </c>
      <c r="H15" s="4" t="s">
        <v>36</v>
      </c>
      <c r="I15" s="3" t="s">
        <v>31</v>
      </c>
      <c r="J15" s="3">
        <v>75</v>
      </c>
      <c r="K15" s="3" t="s">
        <v>6</v>
      </c>
      <c r="L15" s="3">
        <v>17</v>
      </c>
      <c r="M15" s="3">
        <v>5</v>
      </c>
      <c r="N15" s="3">
        <v>0</v>
      </c>
      <c r="O15" s="3">
        <v>11.9</v>
      </c>
      <c r="P15" s="3">
        <v>1.21</v>
      </c>
      <c r="Q15" s="3">
        <v>0.38</v>
      </c>
      <c r="R15" s="3">
        <v>50</v>
      </c>
      <c r="S15" s="3" t="s">
        <v>104</v>
      </c>
      <c r="T15" s="5">
        <v>23.36</v>
      </c>
      <c r="U15" s="5">
        <v>27.37</v>
      </c>
      <c r="V15" s="5">
        <v>22.91</v>
      </c>
      <c r="W15" s="5">
        <v>27.35</v>
      </c>
      <c r="X15" s="5">
        <v>28.23</v>
      </c>
      <c r="Y15" s="5">
        <v>27.1</v>
      </c>
      <c r="Z15" s="5">
        <v>25.06</v>
      </c>
      <c r="AA15" s="5">
        <v>27.4</v>
      </c>
      <c r="AB15" s="5">
        <v>32.93</v>
      </c>
      <c r="AC15" s="5">
        <v>28.94</v>
      </c>
      <c r="AD15" s="5">
        <v>26.03</v>
      </c>
      <c r="AE15" s="5">
        <v>25.97</v>
      </c>
      <c r="AF15" s="5">
        <v>28.33</v>
      </c>
      <c r="AG15" s="5">
        <v>26.17</v>
      </c>
      <c r="AH15" s="5">
        <v>26.44</v>
      </c>
      <c r="AI15" s="5">
        <v>25.66</v>
      </c>
      <c r="AJ15" s="5">
        <v>28.74</v>
      </c>
      <c r="AK15" s="5">
        <v>26</v>
      </c>
      <c r="AL15" s="3" t="s">
        <v>31</v>
      </c>
      <c r="AM15" s="68">
        <f t="shared" si="0"/>
        <v>99.992124531246603</v>
      </c>
      <c r="AP15" s="4" t="s">
        <v>36</v>
      </c>
      <c r="AQ15" s="3" t="s">
        <v>31</v>
      </c>
      <c r="AR15" s="44">
        <f t="shared" si="9"/>
        <v>-4.0100000000000016</v>
      </c>
      <c r="AS15" s="44">
        <f t="shared" si="10"/>
        <v>-4.4400000000000013</v>
      </c>
      <c r="AT15" s="44">
        <f t="shared" si="11"/>
        <v>1.129999999999999</v>
      </c>
      <c r="AU15" s="44">
        <f t="shared" si="12"/>
        <v>-2.34</v>
      </c>
      <c r="AV15" s="44">
        <f t="shared" si="13"/>
        <v>3.9899999999999984</v>
      </c>
      <c r="AW15" s="44">
        <f t="shared" si="14"/>
        <v>6.0000000000002274E-2</v>
      </c>
      <c r="AX15" s="44">
        <f t="shared" si="15"/>
        <v>2.1599999999999966</v>
      </c>
      <c r="AY15" s="44">
        <f t="shared" si="16"/>
        <v>0.78000000000000114</v>
      </c>
      <c r="AZ15" s="44">
        <f t="shared" si="17"/>
        <v>2.7399999999999984</v>
      </c>
      <c r="BA15" s="44"/>
      <c r="BB15" s="4" t="s">
        <v>36</v>
      </c>
      <c r="BC15" s="3" t="s">
        <v>31</v>
      </c>
      <c r="BD15" s="44" t="e">
        <f>AR15*#REF!</f>
        <v>#REF!</v>
      </c>
      <c r="BE15" s="44" t="e">
        <f>AS15*#REF!</f>
        <v>#REF!</v>
      </c>
      <c r="BF15" s="44" t="e">
        <f>AT15*#REF!</f>
        <v>#REF!</v>
      </c>
      <c r="BG15" s="44" t="e">
        <f>AU15*#REF!</f>
        <v>#REF!</v>
      </c>
      <c r="BH15" s="44" t="e">
        <f>AV15*#REF!</f>
        <v>#REF!</v>
      </c>
      <c r="BI15" s="44" t="e">
        <f>AW15*#REF!</f>
        <v>#REF!</v>
      </c>
      <c r="BJ15" s="44" t="e">
        <f>AX15*#REF!</f>
        <v>#REF!</v>
      </c>
      <c r="BK15" s="44" t="e">
        <f>AY15*#REF!</f>
        <v>#REF!</v>
      </c>
      <c r="BL15" s="44" t="e">
        <f>AZ15*#REF!</f>
        <v>#REF!</v>
      </c>
      <c r="BM15" s="44" t="e">
        <f t="shared" si="18"/>
        <v>#REF!</v>
      </c>
      <c r="BN15" s="83" t="e">
        <f t="shared" si="19"/>
        <v>#REF!</v>
      </c>
      <c r="BP15" s="87">
        <v>99.992124531246603</v>
      </c>
      <c r="BQ15" s="87">
        <v>0.99975064934066282</v>
      </c>
    </row>
    <row r="16" spans="1:69" s="25" customFormat="1" ht="15" customHeight="1">
      <c r="A16" s="3" t="s">
        <v>45</v>
      </c>
      <c r="B16" s="3"/>
      <c r="C16" s="3">
        <v>5</v>
      </c>
      <c r="D16" s="3" t="s">
        <v>24</v>
      </c>
      <c r="E16" s="19"/>
      <c r="F16" s="3" t="s">
        <v>25</v>
      </c>
      <c r="G16" s="4" t="s">
        <v>26</v>
      </c>
      <c r="H16" s="4" t="s">
        <v>37</v>
      </c>
      <c r="I16" s="3" t="s">
        <v>31</v>
      </c>
      <c r="J16" s="3">
        <v>77</v>
      </c>
      <c r="K16" s="3" t="s">
        <v>6</v>
      </c>
      <c r="L16" s="3">
        <v>24</v>
      </c>
      <c r="M16" s="3">
        <v>3</v>
      </c>
      <c r="N16" s="3">
        <v>0</v>
      </c>
      <c r="O16" s="3">
        <v>9.3000000000000007</v>
      </c>
      <c r="P16" s="3">
        <v>1.17</v>
      </c>
      <c r="Q16" s="3">
        <v>0.36</v>
      </c>
      <c r="R16" s="3">
        <v>50</v>
      </c>
      <c r="S16" s="3" t="s">
        <v>105</v>
      </c>
      <c r="T16" s="5">
        <v>26.83</v>
      </c>
      <c r="U16" s="5">
        <v>29.51</v>
      </c>
      <c r="V16" s="5">
        <v>25.97</v>
      </c>
      <c r="W16" s="5">
        <v>29.4</v>
      </c>
      <c r="X16" s="5">
        <v>29.49</v>
      </c>
      <c r="Y16" s="5">
        <v>29.07</v>
      </c>
      <c r="Z16" s="5">
        <v>23.08</v>
      </c>
      <c r="AA16" s="5">
        <v>30.78</v>
      </c>
      <c r="AB16" s="5">
        <v>33.67</v>
      </c>
      <c r="AC16" s="5">
        <v>30.63</v>
      </c>
      <c r="AD16" s="5">
        <v>28.29</v>
      </c>
      <c r="AE16" s="5">
        <v>27.75</v>
      </c>
      <c r="AF16" s="5">
        <v>27.43</v>
      </c>
      <c r="AG16" s="5">
        <v>27.79</v>
      </c>
      <c r="AH16" s="5">
        <v>28.49</v>
      </c>
      <c r="AI16" s="5">
        <v>27.4</v>
      </c>
      <c r="AJ16" s="5">
        <v>30.66</v>
      </c>
      <c r="AK16" s="5">
        <v>27.73</v>
      </c>
      <c r="AL16" s="3" t="s">
        <v>31</v>
      </c>
      <c r="AM16" s="68">
        <f t="shared" si="0"/>
        <v>99.999973174163387</v>
      </c>
      <c r="AP16" s="4" t="s">
        <v>37</v>
      </c>
      <c r="AQ16" s="3" t="s">
        <v>31</v>
      </c>
      <c r="AR16" s="44">
        <f t="shared" si="9"/>
        <v>-2.6800000000000033</v>
      </c>
      <c r="AS16" s="44">
        <f t="shared" si="10"/>
        <v>-3.4299999999999997</v>
      </c>
      <c r="AT16" s="44">
        <f t="shared" si="11"/>
        <v>0.41999999999999815</v>
      </c>
      <c r="AU16" s="44">
        <f t="shared" si="12"/>
        <v>-7.7000000000000028</v>
      </c>
      <c r="AV16" s="44">
        <f t="shared" si="13"/>
        <v>3.0400000000000027</v>
      </c>
      <c r="AW16" s="44">
        <f t="shared" si="14"/>
        <v>0.53999999999999915</v>
      </c>
      <c r="AX16" s="44">
        <f t="shared" si="15"/>
        <v>-0.35999999999999943</v>
      </c>
      <c r="AY16" s="44">
        <f t="shared" si="16"/>
        <v>1.0899999999999999</v>
      </c>
      <c r="AZ16" s="44">
        <f t="shared" si="17"/>
        <v>2.9299999999999997</v>
      </c>
      <c r="BA16" s="44"/>
      <c r="BB16" s="4" t="s">
        <v>37</v>
      </c>
      <c r="BC16" s="3" t="s">
        <v>31</v>
      </c>
      <c r="BD16" s="44" t="e">
        <f>AR16*#REF!</f>
        <v>#REF!</v>
      </c>
      <c r="BE16" s="44" t="e">
        <f>AS16*#REF!</f>
        <v>#REF!</v>
      </c>
      <c r="BF16" s="44" t="e">
        <f>AT16*#REF!</f>
        <v>#REF!</v>
      </c>
      <c r="BG16" s="44" t="e">
        <f>AU16*#REF!</f>
        <v>#REF!</v>
      </c>
      <c r="BH16" s="44" t="e">
        <f>AV16*#REF!</f>
        <v>#REF!</v>
      </c>
      <c r="BI16" s="44" t="e">
        <f>AW16*#REF!</f>
        <v>#REF!</v>
      </c>
      <c r="BJ16" s="44" t="e">
        <f>AX16*#REF!</f>
        <v>#REF!</v>
      </c>
      <c r="BK16" s="44" t="e">
        <f>AY16*#REF!</f>
        <v>#REF!</v>
      </c>
      <c r="BL16" s="44" t="e">
        <f>AZ16*#REF!</f>
        <v>#REF!</v>
      </c>
      <c r="BM16" s="44" t="e">
        <f t="shared" si="18"/>
        <v>#REF!</v>
      </c>
      <c r="BN16" s="83" t="e">
        <f t="shared" si="19"/>
        <v>#REF!</v>
      </c>
      <c r="BP16" s="87">
        <v>99.999973174163387</v>
      </c>
      <c r="BQ16" s="87">
        <v>0.99985692550005578</v>
      </c>
    </row>
    <row r="17" spans="1:69" s="25" customFormat="1" ht="15" customHeight="1">
      <c r="A17" s="3" t="s">
        <v>48</v>
      </c>
      <c r="B17" s="3"/>
      <c r="C17" s="3">
        <v>6</v>
      </c>
      <c r="D17" s="3" t="s">
        <v>49</v>
      </c>
      <c r="E17" s="19"/>
      <c r="F17" s="3" t="s">
        <v>50</v>
      </c>
      <c r="G17" s="3"/>
      <c r="H17" s="4" t="s">
        <v>59</v>
      </c>
      <c r="I17" s="3" t="s">
        <v>31</v>
      </c>
      <c r="J17" s="3">
        <v>73</v>
      </c>
      <c r="K17" s="3" t="s">
        <v>6</v>
      </c>
      <c r="L17" s="3"/>
      <c r="M17" s="3"/>
      <c r="N17" s="3"/>
      <c r="O17" s="3">
        <v>16.5</v>
      </c>
      <c r="P17" s="3">
        <v>1.29</v>
      </c>
      <c r="Q17" s="3">
        <v>0.4</v>
      </c>
      <c r="R17" s="3">
        <v>50</v>
      </c>
      <c r="S17" s="3" t="s">
        <v>106</v>
      </c>
      <c r="T17" s="5">
        <v>25.53</v>
      </c>
      <c r="U17" s="5">
        <v>27.32</v>
      </c>
      <c r="V17" s="5">
        <v>24.96</v>
      </c>
      <c r="W17" s="5">
        <v>27.27</v>
      </c>
      <c r="X17" s="5">
        <v>27.58</v>
      </c>
      <c r="Y17" s="5">
        <v>27.02</v>
      </c>
      <c r="Z17" s="5">
        <v>24.84</v>
      </c>
      <c r="AA17" s="5">
        <v>27</v>
      </c>
      <c r="AB17" s="5">
        <v>36.950000000000003</v>
      </c>
      <c r="AC17" s="5">
        <v>28.97</v>
      </c>
      <c r="AD17" s="5">
        <v>29.27</v>
      </c>
      <c r="AE17" s="5">
        <v>26.52</v>
      </c>
      <c r="AF17" s="5">
        <v>30.77</v>
      </c>
      <c r="AG17" s="5">
        <v>26.4</v>
      </c>
      <c r="AH17" s="5">
        <v>29.37</v>
      </c>
      <c r="AI17" s="5">
        <v>26.3</v>
      </c>
      <c r="AJ17" s="5">
        <v>32.35</v>
      </c>
      <c r="AK17" s="5">
        <v>26.44</v>
      </c>
      <c r="AL17" s="3" t="s">
        <v>31</v>
      </c>
      <c r="AM17" s="68">
        <f t="shared" si="0"/>
        <v>99.546691425437189</v>
      </c>
      <c r="AP17" s="4" t="s">
        <v>59</v>
      </c>
      <c r="AQ17" s="3" t="s">
        <v>31</v>
      </c>
      <c r="AR17" s="44">
        <f t="shared" si="9"/>
        <v>-1.7899999999999991</v>
      </c>
      <c r="AS17" s="44">
        <f t="shared" si="10"/>
        <v>-2.3099999999999987</v>
      </c>
      <c r="AT17" s="44">
        <f t="shared" si="11"/>
        <v>0.55999999999999872</v>
      </c>
      <c r="AU17" s="44">
        <f t="shared" si="12"/>
        <v>-2.16</v>
      </c>
      <c r="AV17" s="44">
        <f t="shared" si="13"/>
        <v>7.980000000000004</v>
      </c>
      <c r="AW17" s="44">
        <f t="shared" si="14"/>
        <v>2.75</v>
      </c>
      <c r="AX17" s="44">
        <f t="shared" si="15"/>
        <v>4.370000000000001</v>
      </c>
      <c r="AY17" s="44">
        <f t="shared" si="16"/>
        <v>3.0700000000000003</v>
      </c>
      <c r="AZ17" s="44">
        <f t="shared" si="17"/>
        <v>5.91</v>
      </c>
      <c r="BA17" s="44"/>
      <c r="BB17" s="4" t="s">
        <v>59</v>
      </c>
      <c r="BC17" s="3" t="s">
        <v>31</v>
      </c>
      <c r="BD17" s="44" t="e">
        <f>AR17*#REF!</f>
        <v>#REF!</v>
      </c>
      <c r="BE17" s="44" t="e">
        <f>AS17*#REF!</f>
        <v>#REF!</v>
      </c>
      <c r="BF17" s="44" t="e">
        <f>AT17*#REF!</f>
        <v>#REF!</v>
      </c>
      <c r="BG17" s="44" t="e">
        <f>AU17*#REF!</f>
        <v>#REF!</v>
      </c>
      <c r="BH17" s="44" t="e">
        <f>AV17*#REF!</f>
        <v>#REF!</v>
      </c>
      <c r="BI17" s="44" t="e">
        <f>AW17*#REF!</f>
        <v>#REF!</v>
      </c>
      <c r="BJ17" s="44" t="e">
        <f>AX17*#REF!</f>
        <v>#REF!</v>
      </c>
      <c r="BK17" s="44" t="e">
        <f>AY17*#REF!</f>
        <v>#REF!</v>
      </c>
      <c r="BL17" s="44" t="e">
        <f>AZ17*#REF!</f>
        <v>#REF!</v>
      </c>
      <c r="BM17" s="44" t="e">
        <f t="shared" si="18"/>
        <v>#REF!</v>
      </c>
      <c r="BN17" s="83" t="e">
        <f t="shared" si="19"/>
        <v>#REF!</v>
      </c>
      <c r="BP17" s="87">
        <v>99.546691425437189</v>
      </c>
      <c r="BQ17" s="87">
        <v>0.98965975869373779</v>
      </c>
    </row>
    <row r="18" spans="1:69" s="25" customFormat="1" ht="15" customHeight="1">
      <c r="A18" s="3" t="s">
        <v>48</v>
      </c>
      <c r="B18" s="3"/>
      <c r="C18" s="3">
        <v>7</v>
      </c>
      <c r="D18" s="3" t="s">
        <v>51</v>
      </c>
      <c r="E18" s="19"/>
      <c r="F18" s="3" t="s">
        <v>52</v>
      </c>
      <c r="G18" s="3"/>
      <c r="H18" s="4" t="s">
        <v>60</v>
      </c>
      <c r="I18" s="3" t="s">
        <v>31</v>
      </c>
      <c r="J18" s="3">
        <v>73</v>
      </c>
      <c r="K18" s="3" t="s">
        <v>6</v>
      </c>
      <c r="L18" s="3"/>
      <c r="M18" s="3"/>
      <c r="N18" s="3"/>
      <c r="O18" s="3">
        <v>18.399999999999999</v>
      </c>
      <c r="P18" s="3">
        <v>1.26</v>
      </c>
      <c r="Q18" s="3">
        <v>0.37</v>
      </c>
      <c r="R18" s="3">
        <v>50</v>
      </c>
      <c r="S18" s="3" t="s">
        <v>107</v>
      </c>
      <c r="T18" s="5">
        <v>27.5</v>
      </c>
      <c r="U18" s="5">
        <v>27.64</v>
      </c>
      <c r="V18" s="5">
        <v>26.96</v>
      </c>
      <c r="W18" s="5">
        <v>27.66</v>
      </c>
      <c r="X18" s="5">
        <v>25.99</v>
      </c>
      <c r="Y18" s="5">
        <v>26.98</v>
      </c>
      <c r="Z18" s="5">
        <v>24.7</v>
      </c>
      <c r="AA18" s="5">
        <v>27.14</v>
      </c>
      <c r="AB18" s="5">
        <v>33.049999999999997</v>
      </c>
      <c r="AC18" s="5">
        <v>29.54</v>
      </c>
      <c r="AD18" s="5">
        <v>31.69</v>
      </c>
      <c r="AE18" s="5">
        <v>26.85</v>
      </c>
      <c r="AF18" s="5">
        <v>30.7</v>
      </c>
      <c r="AG18" s="5">
        <v>26.65</v>
      </c>
      <c r="AH18" s="5">
        <v>31.78</v>
      </c>
      <c r="AI18" s="5">
        <v>26.78</v>
      </c>
      <c r="AJ18" s="5">
        <v>34.28</v>
      </c>
      <c r="AK18" s="5">
        <v>26.79</v>
      </c>
      <c r="AL18" s="3" t="s">
        <v>31</v>
      </c>
      <c r="AM18" s="68">
        <f t="shared" si="0"/>
        <v>99.981553364768061</v>
      </c>
      <c r="AP18" s="4" t="s">
        <v>60</v>
      </c>
      <c r="AQ18" s="3" t="s">
        <v>31</v>
      </c>
      <c r="AR18" s="44">
        <f t="shared" si="9"/>
        <v>-0.14000000000000057</v>
      </c>
      <c r="AS18" s="44">
        <f t="shared" si="10"/>
        <v>-0.69999999999999929</v>
      </c>
      <c r="AT18" s="44">
        <f t="shared" si="11"/>
        <v>-0.99000000000000199</v>
      </c>
      <c r="AU18" s="44">
        <f t="shared" si="12"/>
        <v>-2.4400000000000013</v>
      </c>
      <c r="AV18" s="44">
        <f t="shared" si="13"/>
        <v>3.509999999999998</v>
      </c>
      <c r="AW18" s="44">
        <f t="shared" si="14"/>
        <v>4.84</v>
      </c>
      <c r="AX18" s="44">
        <f t="shared" si="15"/>
        <v>4.0500000000000007</v>
      </c>
      <c r="AY18" s="44">
        <f t="shared" si="16"/>
        <v>5</v>
      </c>
      <c r="AZ18" s="44">
        <f t="shared" si="17"/>
        <v>7.490000000000002</v>
      </c>
      <c r="BA18" s="44"/>
      <c r="BB18" s="4" t="s">
        <v>60</v>
      </c>
      <c r="BC18" s="3" t="s">
        <v>31</v>
      </c>
      <c r="BD18" s="44" t="e">
        <f>AR18*#REF!</f>
        <v>#REF!</v>
      </c>
      <c r="BE18" s="44" t="e">
        <f>AS18*#REF!</f>
        <v>#REF!</v>
      </c>
      <c r="BF18" s="44" t="e">
        <f>AT18*#REF!</f>
        <v>#REF!</v>
      </c>
      <c r="BG18" s="44" t="e">
        <f>AU18*#REF!</f>
        <v>#REF!</v>
      </c>
      <c r="BH18" s="44" t="e">
        <f>AV18*#REF!</f>
        <v>#REF!</v>
      </c>
      <c r="BI18" s="44" t="e">
        <f>AW18*#REF!</f>
        <v>#REF!</v>
      </c>
      <c r="BJ18" s="44" t="e">
        <f>AX18*#REF!</f>
        <v>#REF!</v>
      </c>
      <c r="BK18" s="44" t="e">
        <f>AY18*#REF!</f>
        <v>#REF!</v>
      </c>
      <c r="BL18" s="44" t="e">
        <f>AZ18*#REF!</f>
        <v>#REF!</v>
      </c>
      <c r="BM18" s="44" t="e">
        <f t="shared" si="18"/>
        <v>#REF!</v>
      </c>
      <c r="BN18" s="83" t="e">
        <f t="shared" si="19"/>
        <v>#REF!</v>
      </c>
      <c r="BP18" s="87">
        <v>99.981553364768061</v>
      </c>
      <c r="BQ18" s="87">
        <v>0.99878505525839612</v>
      </c>
    </row>
    <row r="19" spans="1:69" s="25" customFormat="1" ht="15" customHeight="1">
      <c r="A19" s="3" t="s">
        <v>48</v>
      </c>
      <c r="B19" s="3"/>
      <c r="C19" s="3">
        <v>8</v>
      </c>
      <c r="D19" s="3" t="s">
        <v>53</v>
      </c>
      <c r="E19" s="19"/>
      <c r="F19" s="3" t="s">
        <v>54</v>
      </c>
      <c r="G19" s="3"/>
      <c r="H19" s="4" t="s">
        <v>61</v>
      </c>
      <c r="I19" s="3" t="s">
        <v>31</v>
      </c>
      <c r="J19" s="3">
        <v>76</v>
      </c>
      <c r="K19" s="3" t="s">
        <v>6</v>
      </c>
      <c r="L19" s="3"/>
      <c r="M19" s="3"/>
      <c r="N19" s="3"/>
      <c r="O19" s="3">
        <v>16.600000000000001</v>
      </c>
      <c r="P19" s="3">
        <v>1.3</v>
      </c>
      <c r="Q19" s="3">
        <v>0.39</v>
      </c>
      <c r="R19" s="3">
        <v>50</v>
      </c>
      <c r="S19" s="3" t="s">
        <v>108</v>
      </c>
      <c r="T19" s="5">
        <v>25.65</v>
      </c>
      <c r="U19" s="5">
        <v>28.16</v>
      </c>
      <c r="V19" s="5">
        <v>24.86</v>
      </c>
      <c r="W19" s="5">
        <v>28</v>
      </c>
      <c r="X19" s="5">
        <v>26.75</v>
      </c>
      <c r="Y19" s="5">
        <v>27.66</v>
      </c>
      <c r="Z19" s="5">
        <v>23.83</v>
      </c>
      <c r="AA19" s="5">
        <v>27.67</v>
      </c>
      <c r="AB19" s="5">
        <v>35.35</v>
      </c>
      <c r="AC19" s="5">
        <v>29.82</v>
      </c>
      <c r="AD19" s="5">
        <v>28.99</v>
      </c>
      <c r="AE19" s="5">
        <v>27.17</v>
      </c>
      <c r="AF19" s="5">
        <v>29.15</v>
      </c>
      <c r="AG19" s="5">
        <v>27.01</v>
      </c>
      <c r="AH19" s="5">
        <v>29.03</v>
      </c>
      <c r="AI19" s="5">
        <v>26.77</v>
      </c>
      <c r="AJ19" s="5">
        <v>31.87</v>
      </c>
      <c r="AK19" s="5">
        <v>26.95</v>
      </c>
      <c r="AL19" s="3" t="s">
        <v>31</v>
      </c>
      <c r="AM19" s="68">
        <f t="shared" si="0"/>
        <v>99.994850178955488</v>
      </c>
      <c r="AP19" s="4" t="s">
        <v>61</v>
      </c>
      <c r="AQ19" s="3" t="s">
        <v>31</v>
      </c>
      <c r="AR19" s="44">
        <f t="shared" si="9"/>
        <v>-2.5100000000000016</v>
      </c>
      <c r="AS19" s="44">
        <f t="shared" si="10"/>
        <v>-3.1400000000000006</v>
      </c>
      <c r="AT19" s="44">
        <f t="shared" si="11"/>
        <v>-0.91000000000000014</v>
      </c>
      <c r="AU19" s="44">
        <f t="shared" si="12"/>
        <v>-3.8400000000000034</v>
      </c>
      <c r="AV19" s="44">
        <f t="shared" si="13"/>
        <v>5.5300000000000011</v>
      </c>
      <c r="AW19" s="44">
        <f t="shared" si="14"/>
        <v>1.8199999999999967</v>
      </c>
      <c r="AX19" s="44">
        <f t="shared" si="15"/>
        <v>2.139999999999997</v>
      </c>
      <c r="AY19" s="44">
        <f t="shared" si="16"/>
        <v>2.2600000000000016</v>
      </c>
      <c r="AZ19" s="44">
        <f t="shared" si="17"/>
        <v>4.9200000000000017</v>
      </c>
      <c r="BA19" s="44"/>
      <c r="BB19" s="4" t="s">
        <v>61</v>
      </c>
      <c r="BC19" s="3" t="s">
        <v>31</v>
      </c>
      <c r="BD19" s="44" t="e">
        <f>AR19*#REF!</f>
        <v>#REF!</v>
      </c>
      <c r="BE19" s="44" t="e">
        <f>AS19*#REF!</f>
        <v>#REF!</v>
      </c>
      <c r="BF19" s="44" t="e">
        <f>AT19*#REF!</f>
        <v>#REF!</v>
      </c>
      <c r="BG19" s="44" t="e">
        <f>AU19*#REF!</f>
        <v>#REF!</v>
      </c>
      <c r="BH19" s="44" t="e">
        <f>AV19*#REF!</f>
        <v>#REF!</v>
      </c>
      <c r="BI19" s="44" t="e">
        <f>AW19*#REF!</f>
        <v>#REF!</v>
      </c>
      <c r="BJ19" s="44" t="e">
        <f>AX19*#REF!</f>
        <v>#REF!</v>
      </c>
      <c r="BK19" s="44" t="e">
        <f>AY19*#REF!</f>
        <v>#REF!</v>
      </c>
      <c r="BL19" s="44" t="e">
        <f>AZ19*#REF!</f>
        <v>#REF!</v>
      </c>
      <c r="BM19" s="44" t="e">
        <f t="shared" si="18"/>
        <v>#REF!</v>
      </c>
      <c r="BN19" s="83" t="e">
        <f t="shared" si="19"/>
        <v>#REF!</v>
      </c>
      <c r="BP19" s="87">
        <v>99.994850178955488</v>
      </c>
      <c r="BQ19" s="87">
        <v>0.99941069134679872</v>
      </c>
    </row>
    <row r="20" spans="1:69" s="52" customFormat="1" ht="15" customHeight="1">
      <c r="A20" s="47" t="s">
        <v>48</v>
      </c>
      <c r="B20" s="47"/>
      <c r="C20" s="47">
        <v>9</v>
      </c>
      <c r="D20" s="47" t="s">
        <v>55</v>
      </c>
      <c r="E20" s="48"/>
      <c r="F20" s="47" t="s">
        <v>56</v>
      </c>
      <c r="G20" s="47"/>
      <c r="H20" s="49" t="s">
        <v>62</v>
      </c>
      <c r="I20" s="47" t="s">
        <v>31</v>
      </c>
      <c r="J20" s="47">
        <v>78</v>
      </c>
      <c r="K20" s="47" t="s">
        <v>6</v>
      </c>
      <c r="L20" s="47"/>
      <c r="M20" s="47"/>
      <c r="N20" s="47"/>
      <c r="O20" s="47">
        <v>24</v>
      </c>
      <c r="P20" s="47">
        <v>1.33</v>
      </c>
      <c r="Q20" s="47">
        <v>0.42</v>
      </c>
      <c r="R20" s="47">
        <v>50</v>
      </c>
      <c r="S20" s="47" t="s">
        <v>109</v>
      </c>
      <c r="T20" s="51">
        <v>26.83</v>
      </c>
      <c r="U20" s="51">
        <v>26.48</v>
      </c>
      <c r="V20" s="51">
        <v>26.13</v>
      </c>
      <c r="W20" s="51">
        <v>26.44</v>
      </c>
      <c r="X20" s="51">
        <v>26.89</v>
      </c>
      <c r="Y20" s="51">
        <v>26</v>
      </c>
      <c r="Z20" s="51">
        <v>25.25</v>
      </c>
      <c r="AA20" s="51">
        <v>26.27</v>
      </c>
      <c r="AB20" s="51">
        <v>39.75</v>
      </c>
      <c r="AC20" s="51">
        <v>28.26</v>
      </c>
      <c r="AD20" s="51">
        <v>32.61</v>
      </c>
      <c r="AE20" s="51">
        <v>25.96</v>
      </c>
      <c r="AF20" s="51">
        <v>34.14</v>
      </c>
      <c r="AG20" s="51">
        <v>25.88</v>
      </c>
      <c r="AH20" s="51">
        <v>32.35</v>
      </c>
      <c r="AI20" s="51">
        <v>26.01</v>
      </c>
      <c r="AJ20" s="51">
        <v>36.18</v>
      </c>
      <c r="AK20" s="51">
        <v>25.94</v>
      </c>
      <c r="AL20" s="47" t="s">
        <v>31</v>
      </c>
      <c r="AM20" s="66">
        <f t="shared" si="0"/>
        <v>17.702541637529638</v>
      </c>
      <c r="AN20" s="59" t="s">
        <v>542</v>
      </c>
      <c r="AO20" s="59"/>
      <c r="AP20" s="49" t="s">
        <v>62</v>
      </c>
      <c r="AQ20" s="47" t="s">
        <v>31</v>
      </c>
      <c r="AR20" s="44">
        <f t="shared" si="9"/>
        <v>0.34999999999999787</v>
      </c>
      <c r="AS20" s="44">
        <f t="shared" si="10"/>
        <v>-0.31000000000000227</v>
      </c>
      <c r="AT20" s="44">
        <f t="shared" si="11"/>
        <v>0.89000000000000057</v>
      </c>
      <c r="AU20" s="44">
        <f t="shared" si="12"/>
        <v>-1.0199999999999996</v>
      </c>
      <c r="AV20" s="44">
        <f t="shared" si="13"/>
        <v>11.489999999999998</v>
      </c>
      <c r="AW20" s="44">
        <f t="shared" si="14"/>
        <v>6.6499999999999986</v>
      </c>
      <c r="AX20" s="44">
        <f t="shared" si="15"/>
        <v>8.2600000000000016</v>
      </c>
      <c r="AY20" s="44">
        <f t="shared" si="16"/>
        <v>6.34</v>
      </c>
      <c r="AZ20" s="44">
        <f t="shared" si="17"/>
        <v>10.239999999999998</v>
      </c>
      <c r="BA20" s="44"/>
      <c r="BB20" s="49" t="s">
        <v>62</v>
      </c>
      <c r="BC20" s="47" t="s">
        <v>31</v>
      </c>
      <c r="BD20" s="44" t="e">
        <f>AR20*#REF!</f>
        <v>#REF!</v>
      </c>
      <c r="BE20" s="44" t="e">
        <f>AS20*#REF!</f>
        <v>#REF!</v>
      </c>
      <c r="BF20" s="44" t="e">
        <f>AT20*#REF!</f>
        <v>#REF!</v>
      </c>
      <c r="BG20" s="44" t="e">
        <f>AU20*#REF!</f>
        <v>#REF!</v>
      </c>
      <c r="BH20" s="44" t="e">
        <f>AV20*#REF!</f>
        <v>#REF!</v>
      </c>
      <c r="BI20" s="44" t="e">
        <f>AW20*#REF!</f>
        <v>#REF!</v>
      </c>
      <c r="BJ20" s="44" t="e">
        <f>AX20*#REF!</f>
        <v>#REF!</v>
      </c>
      <c r="BK20" s="44" t="e">
        <f>AY20*#REF!</f>
        <v>#REF!</v>
      </c>
      <c r="BL20" s="44" t="e">
        <f>AZ20*#REF!</f>
        <v>#REF!</v>
      </c>
      <c r="BM20" s="44" t="e">
        <f t="shared" si="18"/>
        <v>#REF!</v>
      </c>
      <c r="BN20" s="67" t="e">
        <f t="shared" si="19"/>
        <v>#REF!</v>
      </c>
      <c r="BO20" s="59" t="s">
        <v>542</v>
      </c>
      <c r="BP20" s="86">
        <v>17.702541637529638</v>
      </c>
      <c r="BQ20" s="86">
        <v>0.3830541248749893</v>
      </c>
    </row>
    <row r="21" spans="1:69" s="25" customFormat="1" ht="15" customHeight="1">
      <c r="A21" s="3" t="s">
        <v>48</v>
      </c>
      <c r="B21" s="3"/>
      <c r="C21" s="3">
        <v>10</v>
      </c>
      <c r="D21" s="3" t="s">
        <v>57</v>
      </c>
      <c r="E21" s="19"/>
      <c r="F21" s="3" t="s">
        <v>58</v>
      </c>
      <c r="G21" s="3"/>
      <c r="H21" s="4" t="s">
        <v>63</v>
      </c>
      <c r="I21" s="3" t="s">
        <v>31</v>
      </c>
      <c r="J21" s="3">
        <v>78</v>
      </c>
      <c r="K21" s="3" t="s">
        <v>6</v>
      </c>
      <c r="L21" s="3"/>
      <c r="M21" s="3"/>
      <c r="N21" s="3"/>
      <c r="O21" s="3">
        <v>18.399999999999999</v>
      </c>
      <c r="P21" s="3">
        <v>1.31</v>
      </c>
      <c r="Q21" s="3">
        <v>0.4</v>
      </c>
      <c r="R21" s="3">
        <v>50</v>
      </c>
      <c r="S21" s="3" t="s">
        <v>110</v>
      </c>
      <c r="T21" s="5">
        <v>24.33</v>
      </c>
      <c r="U21" s="5">
        <v>27.25</v>
      </c>
      <c r="V21" s="5">
        <v>23.9</v>
      </c>
      <c r="W21" s="5">
        <v>27.07</v>
      </c>
      <c r="X21" s="5">
        <v>26.38</v>
      </c>
      <c r="Y21" s="5">
        <v>26.7</v>
      </c>
      <c r="Z21" s="5">
        <v>24.46</v>
      </c>
      <c r="AA21" s="5">
        <v>27.03</v>
      </c>
      <c r="AB21" s="5">
        <v>36.08</v>
      </c>
      <c r="AC21" s="5">
        <v>28.85</v>
      </c>
      <c r="AD21" s="5">
        <v>28.86</v>
      </c>
      <c r="AE21" s="5">
        <v>26.31</v>
      </c>
      <c r="AF21" s="5">
        <v>31.78</v>
      </c>
      <c r="AG21" s="5">
        <v>26.37</v>
      </c>
      <c r="AH21" s="5">
        <v>28.87</v>
      </c>
      <c r="AI21" s="5">
        <v>26.06</v>
      </c>
      <c r="AJ21" s="5">
        <v>32.119999999999997</v>
      </c>
      <c r="AK21" s="5">
        <v>26.26</v>
      </c>
      <c r="AL21" s="3" t="s">
        <v>31</v>
      </c>
      <c r="AM21" s="68">
        <f t="shared" si="0"/>
        <v>95.814300043490974</v>
      </c>
      <c r="AP21" s="4" t="s">
        <v>63</v>
      </c>
      <c r="AQ21" s="3" t="s">
        <v>31</v>
      </c>
      <c r="AR21" s="44">
        <f t="shared" si="9"/>
        <v>-2.9200000000000017</v>
      </c>
      <c r="AS21" s="44">
        <f t="shared" si="10"/>
        <v>-3.1700000000000017</v>
      </c>
      <c r="AT21" s="44">
        <f t="shared" si="11"/>
        <v>-0.32000000000000028</v>
      </c>
      <c r="AU21" s="44">
        <f t="shared" si="12"/>
        <v>-2.5700000000000003</v>
      </c>
      <c r="AV21" s="44">
        <f t="shared" si="13"/>
        <v>7.2299999999999969</v>
      </c>
      <c r="AW21" s="44">
        <f t="shared" si="14"/>
        <v>2.5500000000000007</v>
      </c>
      <c r="AX21" s="44">
        <f t="shared" si="15"/>
        <v>5.41</v>
      </c>
      <c r="AY21" s="44">
        <f t="shared" si="16"/>
        <v>2.8100000000000023</v>
      </c>
      <c r="AZ21" s="44">
        <f t="shared" si="17"/>
        <v>5.8599999999999959</v>
      </c>
      <c r="BA21" s="44"/>
      <c r="BB21" s="4" t="s">
        <v>63</v>
      </c>
      <c r="BC21" s="3" t="s">
        <v>31</v>
      </c>
      <c r="BD21" s="44" t="e">
        <f>AR21*#REF!</f>
        <v>#REF!</v>
      </c>
      <c r="BE21" s="44" t="e">
        <f>AS21*#REF!</f>
        <v>#REF!</v>
      </c>
      <c r="BF21" s="44" t="e">
        <f>AT21*#REF!</f>
        <v>#REF!</v>
      </c>
      <c r="BG21" s="44" t="e">
        <f>AU21*#REF!</f>
        <v>#REF!</v>
      </c>
      <c r="BH21" s="44" t="e">
        <f>AV21*#REF!</f>
        <v>#REF!</v>
      </c>
      <c r="BI21" s="44" t="e">
        <f>AW21*#REF!</f>
        <v>#REF!</v>
      </c>
      <c r="BJ21" s="44" t="e">
        <f>AX21*#REF!</f>
        <v>#REF!</v>
      </c>
      <c r="BK21" s="44" t="e">
        <f>AY21*#REF!</f>
        <v>#REF!</v>
      </c>
      <c r="BL21" s="44" t="e">
        <f>AZ21*#REF!</f>
        <v>#REF!</v>
      </c>
      <c r="BM21" s="44" t="e">
        <f t="shared" si="18"/>
        <v>#REF!</v>
      </c>
      <c r="BN21" s="83" t="e">
        <f t="shared" si="19"/>
        <v>#REF!</v>
      </c>
      <c r="BP21" s="87">
        <v>95.814300043490974</v>
      </c>
      <c r="BQ21" s="87">
        <v>0.98343249905405383</v>
      </c>
    </row>
    <row r="22" spans="1:69" s="74" customFormat="1" ht="15" customHeight="1">
      <c r="A22" s="70" t="s">
        <v>47</v>
      </c>
      <c r="B22" s="70"/>
      <c r="C22" s="70">
        <v>21</v>
      </c>
      <c r="D22" s="70" t="s">
        <v>76</v>
      </c>
      <c r="E22" s="71"/>
      <c r="F22" s="70"/>
      <c r="G22" s="70"/>
      <c r="H22" s="70" t="s">
        <v>75</v>
      </c>
      <c r="I22" s="70" t="s">
        <v>77</v>
      </c>
      <c r="J22" s="70">
        <v>82</v>
      </c>
      <c r="K22" s="70" t="s">
        <v>78</v>
      </c>
      <c r="L22" s="70"/>
      <c r="M22" s="70"/>
      <c r="N22" s="70"/>
      <c r="O22" s="70">
        <v>13.7</v>
      </c>
      <c r="P22" s="70">
        <v>1.23</v>
      </c>
      <c r="Q22" s="70">
        <v>0.36</v>
      </c>
      <c r="R22" s="70">
        <v>50</v>
      </c>
      <c r="S22" s="70" t="s">
        <v>111</v>
      </c>
      <c r="T22" s="72">
        <v>25.55</v>
      </c>
      <c r="U22" s="72">
        <v>25.68</v>
      </c>
      <c r="V22" s="72">
        <v>24.76</v>
      </c>
      <c r="W22" s="72">
        <v>25.6</v>
      </c>
      <c r="X22" s="72">
        <v>27.2</v>
      </c>
      <c r="Y22" s="72">
        <v>25.35</v>
      </c>
      <c r="Z22" s="72">
        <v>23.51</v>
      </c>
      <c r="AA22" s="72">
        <v>25.18</v>
      </c>
      <c r="AB22" s="72">
        <v>34.1</v>
      </c>
      <c r="AC22" s="72">
        <v>27.24</v>
      </c>
      <c r="AD22" s="72">
        <v>31.18</v>
      </c>
      <c r="AE22" s="72">
        <v>25.05</v>
      </c>
      <c r="AF22" s="72">
        <v>33.6</v>
      </c>
      <c r="AG22" s="72">
        <v>25.05</v>
      </c>
      <c r="AH22" s="72">
        <v>31.28</v>
      </c>
      <c r="AI22" s="72">
        <v>25.17</v>
      </c>
      <c r="AJ22" s="72">
        <v>34.35</v>
      </c>
      <c r="AK22" s="72">
        <v>25.06</v>
      </c>
      <c r="AL22" s="70" t="s">
        <v>77</v>
      </c>
      <c r="AM22" s="73">
        <f t="shared" si="0"/>
        <v>33.195036942203885</v>
      </c>
      <c r="AP22" s="70" t="s">
        <v>75</v>
      </c>
      <c r="AQ22" s="70" t="s">
        <v>77</v>
      </c>
      <c r="AR22" s="75">
        <f t="shared" si="9"/>
        <v>-0.12999999999999901</v>
      </c>
      <c r="AS22" s="75">
        <f t="shared" si="10"/>
        <v>-0.83999999999999986</v>
      </c>
      <c r="AT22" s="75">
        <f t="shared" si="11"/>
        <v>1.8499999999999979</v>
      </c>
      <c r="AU22" s="75">
        <f t="shared" si="12"/>
        <v>-1.6699999999999982</v>
      </c>
      <c r="AV22" s="75">
        <f t="shared" si="13"/>
        <v>6.860000000000003</v>
      </c>
      <c r="AW22" s="75">
        <f t="shared" si="14"/>
        <v>6.129999999999999</v>
      </c>
      <c r="AX22" s="75">
        <f t="shared" si="15"/>
        <v>8.5500000000000007</v>
      </c>
      <c r="AY22" s="75">
        <f t="shared" si="16"/>
        <v>6.1099999999999994</v>
      </c>
      <c r="AZ22" s="75">
        <f t="shared" si="17"/>
        <v>9.2900000000000027</v>
      </c>
      <c r="BA22" s="75"/>
      <c r="BB22" s="70" t="s">
        <v>75</v>
      </c>
      <c r="BC22" s="70" t="s">
        <v>77</v>
      </c>
      <c r="BD22" s="75" t="e">
        <f>AR22*#REF!</f>
        <v>#REF!</v>
      </c>
      <c r="BE22" s="75" t="e">
        <f>AS22*#REF!</f>
        <v>#REF!</v>
      </c>
      <c r="BF22" s="75" t="e">
        <f>AT22*#REF!</f>
        <v>#REF!</v>
      </c>
      <c r="BG22" s="75" t="e">
        <f>AU22*#REF!</f>
        <v>#REF!</v>
      </c>
      <c r="BH22" s="75" t="e">
        <f>AV22*#REF!</f>
        <v>#REF!</v>
      </c>
      <c r="BI22" s="75" t="e">
        <f>AW22*#REF!</f>
        <v>#REF!</v>
      </c>
      <c r="BJ22" s="75" t="e">
        <f>AX22*#REF!</f>
        <v>#REF!</v>
      </c>
      <c r="BK22" s="75" t="e">
        <f>AY22*#REF!</f>
        <v>#REF!</v>
      </c>
      <c r="BL22" s="75" t="e">
        <f>AZ22*#REF!</f>
        <v>#REF!</v>
      </c>
      <c r="BM22" s="75" t="e">
        <f t="shared" si="18"/>
        <v>#REF!</v>
      </c>
      <c r="BN22" s="76" t="e">
        <f t="shared" si="19"/>
        <v>#REF!</v>
      </c>
      <c r="BO22" s="74" t="s">
        <v>548</v>
      </c>
      <c r="BP22" s="88">
        <v>33.195036942203885</v>
      </c>
      <c r="BQ22" s="88">
        <v>0.67055471121186971</v>
      </c>
    </row>
    <row r="23" spans="1:69" s="74" customFormat="1" ht="15" customHeight="1">
      <c r="A23" s="70" t="s">
        <v>47</v>
      </c>
      <c r="B23" s="70"/>
      <c r="C23" s="70">
        <v>22</v>
      </c>
      <c r="D23" s="70" t="s">
        <v>80</v>
      </c>
      <c r="E23" s="71"/>
      <c r="F23" s="70"/>
      <c r="G23" s="70"/>
      <c r="H23" s="70" t="s">
        <v>79</v>
      </c>
      <c r="I23" s="70" t="s">
        <v>81</v>
      </c>
      <c r="J23" s="70">
        <v>62</v>
      </c>
      <c r="K23" s="70" t="s">
        <v>82</v>
      </c>
      <c r="L23" s="70"/>
      <c r="M23" s="70"/>
      <c r="N23" s="70"/>
      <c r="O23" s="70">
        <v>17.899999999999999</v>
      </c>
      <c r="P23" s="70">
        <v>1.25</v>
      </c>
      <c r="Q23" s="70">
        <v>0.38</v>
      </c>
      <c r="R23" s="70">
        <v>50</v>
      </c>
      <c r="S23" s="70" t="s">
        <v>112</v>
      </c>
      <c r="T23" s="72">
        <v>29.37</v>
      </c>
      <c r="U23" s="72">
        <v>27.21</v>
      </c>
      <c r="V23" s="72">
        <v>27.58</v>
      </c>
      <c r="W23" s="72">
        <v>27.24</v>
      </c>
      <c r="X23" s="72">
        <v>30.51</v>
      </c>
      <c r="Y23" s="72">
        <v>26.97</v>
      </c>
      <c r="Z23" s="72">
        <v>25.25</v>
      </c>
      <c r="AA23" s="72">
        <v>26.78</v>
      </c>
      <c r="AB23" s="72">
        <v>40</v>
      </c>
      <c r="AC23" s="72">
        <v>28.91</v>
      </c>
      <c r="AD23" s="72">
        <v>36.26</v>
      </c>
      <c r="AE23" s="72">
        <v>26.71</v>
      </c>
      <c r="AF23" s="72">
        <v>36.369999999999997</v>
      </c>
      <c r="AG23" s="72">
        <v>26.49</v>
      </c>
      <c r="AH23" s="72">
        <v>34.47</v>
      </c>
      <c r="AI23" s="72">
        <v>26.69</v>
      </c>
      <c r="AJ23" s="72">
        <v>39.26</v>
      </c>
      <c r="AK23" s="72">
        <v>26.62</v>
      </c>
      <c r="AL23" s="70" t="s">
        <v>81</v>
      </c>
      <c r="AM23" s="73">
        <f t="shared" si="0"/>
        <v>3.9193203231547189</v>
      </c>
      <c r="AP23" s="70" t="s">
        <v>79</v>
      </c>
      <c r="AQ23" s="70" t="s">
        <v>81</v>
      </c>
      <c r="AR23" s="75">
        <f t="shared" si="9"/>
        <v>2.16</v>
      </c>
      <c r="AS23" s="75">
        <f t="shared" si="10"/>
        <v>0.33999999999999986</v>
      </c>
      <c r="AT23" s="75">
        <f t="shared" si="11"/>
        <v>3.5400000000000027</v>
      </c>
      <c r="AU23" s="75">
        <f t="shared" si="12"/>
        <v>-1.5300000000000011</v>
      </c>
      <c r="AV23" s="75">
        <f t="shared" si="13"/>
        <v>11.09</v>
      </c>
      <c r="AW23" s="75">
        <f t="shared" si="14"/>
        <v>9.5499999999999972</v>
      </c>
      <c r="AX23" s="75">
        <f t="shared" si="15"/>
        <v>9.879999999999999</v>
      </c>
      <c r="AY23" s="75">
        <f t="shared" si="16"/>
        <v>7.7799999999999976</v>
      </c>
      <c r="AZ23" s="75">
        <f t="shared" si="17"/>
        <v>12.639999999999997</v>
      </c>
      <c r="BA23" s="75"/>
      <c r="BB23" s="70" t="s">
        <v>79</v>
      </c>
      <c r="BC23" s="70" t="s">
        <v>81</v>
      </c>
      <c r="BD23" s="75" t="e">
        <f>AR23*#REF!</f>
        <v>#REF!</v>
      </c>
      <c r="BE23" s="75" t="e">
        <f>AS23*#REF!</f>
        <v>#REF!</v>
      </c>
      <c r="BF23" s="75" t="e">
        <f>AT23*#REF!</f>
        <v>#REF!</v>
      </c>
      <c r="BG23" s="75" t="e">
        <f>AU23*#REF!</f>
        <v>#REF!</v>
      </c>
      <c r="BH23" s="75" t="e">
        <f>AV23*#REF!</f>
        <v>#REF!</v>
      </c>
      <c r="BI23" s="75" t="e">
        <f>AW23*#REF!</f>
        <v>#REF!</v>
      </c>
      <c r="BJ23" s="75" t="e">
        <f>AX23*#REF!</f>
        <v>#REF!</v>
      </c>
      <c r="BK23" s="75" t="e">
        <f>AY23*#REF!</f>
        <v>#REF!</v>
      </c>
      <c r="BL23" s="75" t="e">
        <f>AZ23*#REF!</f>
        <v>#REF!</v>
      </c>
      <c r="BM23" s="75" t="e">
        <f t="shared" si="18"/>
        <v>#REF!</v>
      </c>
      <c r="BN23" s="84" t="e">
        <f t="shared" si="19"/>
        <v>#REF!</v>
      </c>
      <c r="BP23" s="88">
        <v>3.9193203231547189</v>
      </c>
      <c r="BQ23" s="88">
        <v>5.5931605572635053E-2</v>
      </c>
    </row>
    <row r="24" spans="1:69" s="74" customFormat="1" ht="15" customHeight="1">
      <c r="A24" s="70" t="s">
        <v>47</v>
      </c>
      <c r="B24" s="70"/>
      <c r="C24" s="70">
        <v>23</v>
      </c>
      <c r="D24" s="70" t="s">
        <v>84</v>
      </c>
      <c r="E24" s="71"/>
      <c r="F24" s="70"/>
      <c r="G24" s="70"/>
      <c r="H24" s="70" t="s">
        <v>83</v>
      </c>
      <c r="I24" s="70" t="s">
        <v>77</v>
      </c>
      <c r="J24" s="70">
        <v>68</v>
      </c>
      <c r="K24" s="70" t="s">
        <v>82</v>
      </c>
      <c r="L24" s="70"/>
      <c r="M24" s="70"/>
      <c r="N24" s="70"/>
      <c r="O24" s="70">
        <v>17.600000000000001</v>
      </c>
      <c r="P24" s="70">
        <v>1.25</v>
      </c>
      <c r="Q24" s="70">
        <v>0.38</v>
      </c>
      <c r="R24" s="70">
        <v>50</v>
      </c>
      <c r="S24" s="70" t="s">
        <v>113</v>
      </c>
      <c r="T24" s="72">
        <v>27.1</v>
      </c>
      <c r="U24" s="72">
        <v>27.07</v>
      </c>
      <c r="V24" s="72">
        <v>25.91</v>
      </c>
      <c r="W24" s="72">
        <v>26.92</v>
      </c>
      <c r="X24" s="72">
        <v>27.78</v>
      </c>
      <c r="Y24" s="72">
        <v>26.57</v>
      </c>
      <c r="Z24" s="72">
        <v>24.36</v>
      </c>
      <c r="AA24" s="72">
        <v>26.42</v>
      </c>
      <c r="AB24" s="72">
        <v>40</v>
      </c>
      <c r="AC24" s="72">
        <v>28.86</v>
      </c>
      <c r="AD24" s="72">
        <v>34.08</v>
      </c>
      <c r="AE24" s="72">
        <v>26.64</v>
      </c>
      <c r="AF24" s="72">
        <v>34.53</v>
      </c>
      <c r="AG24" s="72">
        <v>26.52</v>
      </c>
      <c r="AH24" s="72">
        <v>33.17</v>
      </c>
      <c r="AI24" s="72">
        <v>26.62</v>
      </c>
      <c r="AJ24" s="72">
        <v>37.82</v>
      </c>
      <c r="AK24" s="72">
        <v>26.64</v>
      </c>
      <c r="AL24" s="70" t="s">
        <v>77</v>
      </c>
      <c r="AM24" s="73">
        <f t="shared" si="0"/>
        <v>24.999142922321713</v>
      </c>
      <c r="AP24" s="70" t="s">
        <v>83</v>
      </c>
      <c r="AQ24" s="70" t="s">
        <v>77</v>
      </c>
      <c r="AR24" s="75">
        <f t="shared" si="9"/>
        <v>3.0000000000001137E-2</v>
      </c>
      <c r="AS24" s="75">
        <f t="shared" si="10"/>
        <v>-1.0100000000000016</v>
      </c>
      <c r="AT24" s="75">
        <f t="shared" si="11"/>
        <v>1.2100000000000009</v>
      </c>
      <c r="AU24" s="75">
        <f t="shared" si="12"/>
        <v>-2.0600000000000023</v>
      </c>
      <c r="AV24" s="75">
        <f t="shared" si="13"/>
        <v>11.14</v>
      </c>
      <c r="AW24" s="75">
        <f t="shared" si="14"/>
        <v>7.4399999999999977</v>
      </c>
      <c r="AX24" s="75">
        <f t="shared" si="15"/>
        <v>8.0100000000000016</v>
      </c>
      <c r="AY24" s="75">
        <f t="shared" si="16"/>
        <v>6.5500000000000007</v>
      </c>
      <c r="AZ24" s="75">
        <f t="shared" si="17"/>
        <v>11.18</v>
      </c>
      <c r="BA24" s="75"/>
      <c r="BB24" s="70" t="s">
        <v>83</v>
      </c>
      <c r="BC24" s="70" t="s">
        <v>77</v>
      </c>
      <c r="BD24" s="75" t="e">
        <f>AR24*#REF!</f>
        <v>#REF!</v>
      </c>
      <c r="BE24" s="75" t="e">
        <f>AS24*#REF!</f>
        <v>#REF!</v>
      </c>
      <c r="BF24" s="75" t="e">
        <f>AT24*#REF!</f>
        <v>#REF!</v>
      </c>
      <c r="BG24" s="75" t="e">
        <f>AU24*#REF!</f>
        <v>#REF!</v>
      </c>
      <c r="BH24" s="75" t="e">
        <f>AV24*#REF!</f>
        <v>#REF!</v>
      </c>
      <c r="BI24" s="75" t="e">
        <f>AW24*#REF!</f>
        <v>#REF!</v>
      </c>
      <c r="BJ24" s="75" t="e">
        <f>AX24*#REF!</f>
        <v>#REF!</v>
      </c>
      <c r="BK24" s="75" t="e">
        <f>AY24*#REF!</f>
        <v>#REF!</v>
      </c>
      <c r="BL24" s="75" t="e">
        <f>AZ24*#REF!</f>
        <v>#REF!</v>
      </c>
      <c r="BM24" s="75" t="e">
        <f t="shared" si="18"/>
        <v>#REF!</v>
      </c>
      <c r="BN24" s="84" t="e">
        <f t="shared" si="19"/>
        <v>#REF!</v>
      </c>
      <c r="BP24" s="88">
        <v>24.999142922321713</v>
      </c>
      <c r="BQ24" s="88">
        <v>0.35480047976788825</v>
      </c>
    </row>
    <row r="25" spans="1:69" s="74" customFormat="1" ht="15" customHeight="1">
      <c r="A25" s="70" t="s">
        <v>47</v>
      </c>
      <c r="B25" s="70"/>
      <c r="C25" s="70">
        <v>24</v>
      </c>
      <c r="D25" s="70" t="s">
        <v>86</v>
      </c>
      <c r="E25" s="71"/>
      <c r="F25" s="70"/>
      <c r="G25" s="70"/>
      <c r="H25" s="70" t="s">
        <v>85</v>
      </c>
      <c r="I25" s="70" t="s">
        <v>81</v>
      </c>
      <c r="J25" s="70">
        <v>74</v>
      </c>
      <c r="K25" s="70" t="s">
        <v>82</v>
      </c>
      <c r="L25" s="70"/>
      <c r="M25" s="70"/>
      <c r="N25" s="70"/>
      <c r="O25" s="70">
        <v>16.399999999999999</v>
      </c>
      <c r="P25" s="70">
        <v>1.22</v>
      </c>
      <c r="Q25" s="70">
        <v>0.36</v>
      </c>
      <c r="R25" s="70">
        <v>50</v>
      </c>
      <c r="S25" s="70" t="s">
        <v>114</v>
      </c>
      <c r="T25" s="72">
        <v>28.04</v>
      </c>
      <c r="U25" s="72">
        <v>26.92</v>
      </c>
      <c r="V25" s="72">
        <v>26.75</v>
      </c>
      <c r="W25" s="72">
        <v>26.92</v>
      </c>
      <c r="X25" s="72">
        <v>28.14</v>
      </c>
      <c r="Y25" s="72">
        <v>26.52</v>
      </c>
      <c r="Z25" s="72">
        <v>23.82</v>
      </c>
      <c r="AA25" s="72">
        <v>26.36</v>
      </c>
      <c r="AB25" s="72">
        <v>40</v>
      </c>
      <c r="AC25" s="72">
        <v>29.51</v>
      </c>
      <c r="AD25" s="72">
        <v>36.26</v>
      </c>
      <c r="AE25" s="72">
        <v>27.02</v>
      </c>
      <c r="AF25" s="72">
        <v>35.31</v>
      </c>
      <c r="AG25" s="72">
        <v>26.83</v>
      </c>
      <c r="AH25" s="72">
        <v>35.03</v>
      </c>
      <c r="AI25" s="72">
        <v>26.84</v>
      </c>
      <c r="AJ25" s="72">
        <v>38.11</v>
      </c>
      <c r="AK25" s="72">
        <v>26.86</v>
      </c>
      <c r="AL25" s="70" t="s">
        <v>81</v>
      </c>
      <c r="AM25" s="73">
        <f t="shared" si="0"/>
        <v>25.115100172731257</v>
      </c>
      <c r="AP25" s="70" t="s">
        <v>85</v>
      </c>
      <c r="AQ25" s="70" t="s">
        <v>81</v>
      </c>
      <c r="AR25" s="75">
        <f t="shared" si="9"/>
        <v>1.1199999999999974</v>
      </c>
      <c r="AS25" s="75">
        <f t="shared" si="10"/>
        <v>-0.17000000000000171</v>
      </c>
      <c r="AT25" s="75">
        <f t="shared" si="11"/>
        <v>1.620000000000001</v>
      </c>
      <c r="AU25" s="75">
        <f t="shared" si="12"/>
        <v>-2.5399999999999991</v>
      </c>
      <c r="AV25" s="75">
        <f t="shared" si="13"/>
        <v>10.489999999999998</v>
      </c>
      <c r="AW25" s="75">
        <f t="shared" si="14"/>
        <v>9.2399999999999984</v>
      </c>
      <c r="AX25" s="75">
        <f t="shared" si="15"/>
        <v>8.480000000000004</v>
      </c>
      <c r="AY25" s="75">
        <f t="shared" si="16"/>
        <v>8.1900000000000013</v>
      </c>
      <c r="AZ25" s="75">
        <f t="shared" si="17"/>
        <v>11.25</v>
      </c>
      <c r="BA25" s="75"/>
      <c r="BB25" s="70" t="s">
        <v>85</v>
      </c>
      <c r="BC25" s="70" t="s">
        <v>81</v>
      </c>
      <c r="BD25" s="75" t="e">
        <f>AR25*#REF!</f>
        <v>#REF!</v>
      </c>
      <c r="BE25" s="75" t="e">
        <f>AS25*#REF!</f>
        <v>#REF!</v>
      </c>
      <c r="BF25" s="75" t="e">
        <f>AT25*#REF!</f>
        <v>#REF!</v>
      </c>
      <c r="BG25" s="75" t="e">
        <f>AU25*#REF!</f>
        <v>#REF!</v>
      </c>
      <c r="BH25" s="75" t="e">
        <f>AV25*#REF!</f>
        <v>#REF!</v>
      </c>
      <c r="BI25" s="75" t="e">
        <f>AW25*#REF!</f>
        <v>#REF!</v>
      </c>
      <c r="BJ25" s="75" t="e">
        <f>AX25*#REF!</f>
        <v>#REF!</v>
      </c>
      <c r="BK25" s="75" t="e">
        <f>AY25*#REF!</f>
        <v>#REF!</v>
      </c>
      <c r="BL25" s="75" t="e">
        <f>AZ25*#REF!</f>
        <v>#REF!</v>
      </c>
      <c r="BM25" s="75" t="e">
        <f t="shared" si="18"/>
        <v>#REF!</v>
      </c>
      <c r="BN25" s="84" t="e">
        <f t="shared" si="19"/>
        <v>#REF!</v>
      </c>
      <c r="BP25" s="88">
        <v>25.115100172731257</v>
      </c>
      <c r="BQ25" s="88">
        <v>0.17473701976362749</v>
      </c>
    </row>
    <row r="26" spans="1:69" s="74" customFormat="1" ht="15" customHeight="1">
      <c r="A26" s="70" t="s">
        <v>47</v>
      </c>
      <c r="B26" s="70"/>
      <c r="C26" s="70">
        <v>25</v>
      </c>
      <c r="D26" s="70" t="s">
        <v>88</v>
      </c>
      <c r="E26" s="71"/>
      <c r="F26" s="70"/>
      <c r="G26" s="70"/>
      <c r="H26" s="70" t="s">
        <v>87</v>
      </c>
      <c r="I26" s="70" t="s">
        <v>77</v>
      </c>
      <c r="J26" s="70">
        <v>75</v>
      </c>
      <c r="K26" s="70" t="s">
        <v>78</v>
      </c>
      <c r="L26" s="70"/>
      <c r="M26" s="70"/>
      <c r="N26" s="70"/>
      <c r="O26" s="70">
        <v>16.7</v>
      </c>
      <c r="P26" s="70">
        <v>1.24</v>
      </c>
      <c r="Q26" s="70">
        <v>0.37</v>
      </c>
      <c r="R26" s="70">
        <v>50</v>
      </c>
      <c r="S26" s="70">
        <v>832.5</v>
      </c>
      <c r="T26" s="72">
        <v>26.19</v>
      </c>
      <c r="U26" s="72">
        <v>25.99</v>
      </c>
      <c r="V26" s="72">
        <v>24.41</v>
      </c>
      <c r="W26" s="72">
        <v>25.76</v>
      </c>
      <c r="X26" s="72">
        <v>27.11</v>
      </c>
      <c r="Y26" s="72">
        <v>25.45</v>
      </c>
      <c r="Z26" s="72">
        <v>23.47</v>
      </c>
      <c r="AA26" s="72">
        <v>25.27</v>
      </c>
      <c r="AB26" s="72">
        <v>39.22</v>
      </c>
      <c r="AC26" s="72">
        <v>27.71</v>
      </c>
      <c r="AD26" s="72">
        <v>34.58</v>
      </c>
      <c r="AE26" s="72">
        <v>25.77</v>
      </c>
      <c r="AF26" s="72">
        <v>37.090000000000003</v>
      </c>
      <c r="AG26" s="72">
        <v>25.81</v>
      </c>
      <c r="AH26" s="72">
        <v>32.32</v>
      </c>
      <c r="AI26" s="72">
        <v>25.69</v>
      </c>
      <c r="AJ26" s="72">
        <v>36.79</v>
      </c>
      <c r="AK26" s="72">
        <v>25.73</v>
      </c>
      <c r="AL26" s="70" t="s">
        <v>77</v>
      </c>
      <c r="AM26" s="73">
        <f t="shared" si="0"/>
        <v>8.4553762079826997E-2</v>
      </c>
      <c r="AP26" s="70" t="s">
        <v>87</v>
      </c>
      <c r="AQ26" s="70" t="s">
        <v>77</v>
      </c>
      <c r="AR26" s="75">
        <f t="shared" si="9"/>
        <v>0.20000000000000284</v>
      </c>
      <c r="AS26" s="75">
        <f t="shared" si="10"/>
        <v>-1.3500000000000014</v>
      </c>
      <c r="AT26" s="75">
        <f t="shared" si="11"/>
        <v>1.6600000000000001</v>
      </c>
      <c r="AU26" s="75">
        <f t="shared" si="12"/>
        <v>-1.8000000000000007</v>
      </c>
      <c r="AV26" s="75">
        <f t="shared" si="13"/>
        <v>11.509999999999998</v>
      </c>
      <c r="AW26" s="75">
        <f t="shared" si="14"/>
        <v>8.8099999999999987</v>
      </c>
      <c r="AX26" s="75">
        <f t="shared" si="15"/>
        <v>11.280000000000005</v>
      </c>
      <c r="AY26" s="75">
        <f t="shared" si="16"/>
        <v>6.629999999999999</v>
      </c>
      <c r="AZ26" s="75">
        <f t="shared" si="17"/>
        <v>11.059999999999999</v>
      </c>
      <c r="BA26" s="75"/>
      <c r="BB26" s="70" t="s">
        <v>87</v>
      </c>
      <c r="BC26" s="70" t="s">
        <v>77</v>
      </c>
      <c r="BD26" s="75" t="e">
        <f>AR26*#REF!</f>
        <v>#REF!</v>
      </c>
      <c r="BE26" s="75" t="e">
        <f>AS26*#REF!</f>
        <v>#REF!</v>
      </c>
      <c r="BF26" s="75" t="e">
        <f>AT26*#REF!</f>
        <v>#REF!</v>
      </c>
      <c r="BG26" s="75" t="e">
        <f>AU26*#REF!</f>
        <v>#REF!</v>
      </c>
      <c r="BH26" s="75" t="e">
        <f>AV26*#REF!</f>
        <v>#REF!</v>
      </c>
      <c r="BI26" s="75" t="e">
        <f>AW26*#REF!</f>
        <v>#REF!</v>
      </c>
      <c r="BJ26" s="75" t="e">
        <f>AX26*#REF!</f>
        <v>#REF!</v>
      </c>
      <c r="BK26" s="75" t="e">
        <f>AY26*#REF!</f>
        <v>#REF!</v>
      </c>
      <c r="BL26" s="75" t="e">
        <f>AZ26*#REF!</f>
        <v>#REF!</v>
      </c>
      <c r="BM26" s="75" t="e">
        <f t="shared" si="18"/>
        <v>#REF!</v>
      </c>
      <c r="BN26" s="84" t="e">
        <f t="shared" si="19"/>
        <v>#REF!</v>
      </c>
      <c r="BP26" s="88">
        <v>8.4553762079826997E-2</v>
      </c>
      <c r="BQ26" s="88">
        <v>2.2873837188352255E-2</v>
      </c>
    </row>
    <row r="27" spans="1:69" s="25" customFormat="1" ht="15" customHeight="1">
      <c r="A27" s="3" t="s">
        <v>277</v>
      </c>
      <c r="B27" s="3">
        <v>1</v>
      </c>
      <c r="C27" s="21">
        <v>1</v>
      </c>
      <c r="D27" s="22" t="s">
        <v>117</v>
      </c>
      <c r="E27" s="23" t="s">
        <v>290</v>
      </c>
      <c r="F27" s="3"/>
      <c r="G27" s="3"/>
      <c r="H27" s="4" t="s">
        <v>436</v>
      </c>
      <c r="I27" s="24" t="s">
        <v>32</v>
      </c>
      <c r="J27" s="24">
        <v>72</v>
      </c>
      <c r="K27" s="24" t="s">
        <v>118</v>
      </c>
      <c r="L27" s="35">
        <v>20200227</v>
      </c>
      <c r="M27" s="3"/>
      <c r="N27" s="3"/>
      <c r="O27" s="3">
        <v>49.78</v>
      </c>
      <c r="P27" s="3">
        <v>1.34</v>
      </c>
      <c r="Q27" s="3">
        <v>0.46</v>
      </c>
      <c r="R27" s="3">
        <v>30</v>
      </c>
      <c r="S27" s="3">
        <v>1493.4</v>
      </c>
      <c r="T27" s="39">
        <v>25.870065689086914</v>
      </c>
      <c r="U27" s="39">
        <v>26.011811256408691</v>
      </c>
      <c r="V27" s="39">
        <v>26.241756439208984</v>
      </c>
      <c r="W27" s="39">
        <v>25.92091178894043</v>
      </c>
      <c r="X27" s="39">
        <v>24.919331550598145</v>
      </c>
      <c r="Y27" s="39">
        <v>24.94659423828125</v>
      </c>
      <c r="Z27" s="39">
        <v>25.870065689086914</v>
      </c>
      <c r="AA27" s="39">
        <v>25.702566146850586</v>
      </c>
      <c r="AB27" s="39">
        <v>40</v>
      </c>
      <c r="AC27" s="39">
        <v>27.576513290405273</v>
      </c>
      <c r="AD27" s="39">
        <v>35.594573974609375</v>
      </c>
      <c r="AE27" s="39">
        <v>25.988544464111328</v>
      </c>
      <c r="AF27" s="39">
        <v>31.781035423278809</v>
      </c>
      <c r="AG27" s="39">
        <v>25.95435619354248</v>
      </c>
      <c r="AH27" s="39">
        <v>32.520465850830078</v>
      </c>
      <c r="AI27" s="39">
        <v>26.061099052429199</v>
      </c>
      <c r="AJ27" s="39">
        <v>35.079870223999023</v>
      </c>
      <c r="AK27" s="39">
        <v>25.939413070678711</v>
      </c>
      <c r="AL27" s="24" t="s">
        <v>32</v>
      </c>
      <c r="AM27" s="68">
        <f t="shared" si="0"/>
        <v>90.15220996039676</v>
      </c>
      <c r="AP27" s="4" t="s">
        <v>436</v>
      </c>
      <c r="AQ27" s="24" t="s">
        <v>32</v>
      </c>
      <c r="AR27" s="44">
        <f t="shared" si="9"/>
        <v>-0.14174556732177734</v>
      </c>
      <c r="AS27" s="44">
        <f t="shared" si="10"/>
        <v>0.32084465026855469</v>
      </c>
      <c r="AT27" s="44">
        <f t="shared" si="11"/>
        <v>-2.7262687683105469E-2</v>
      </c>
      <c r="AU27" s="44">
        <f t="shared" si="12"/>
        <v>0.16749954223632812</v>
      </c>
      <c r="AV27" s="44">
        <f t="shared" si="13"/>
        <v>12.423486709594727</v>
      </c>
      <c r="AW27" s="44">
        <f t="shared" si="14"/>
        <v>9.6060295104980469</v>
      </c>
      <c r="AX27" s="44">
        <f t="shared" si="15"/>
        <v>5.8266792297363281</v>
      </c>
      <c r="AY27" s="44">
        <f t="shared" si="16"/>
        <v>6.4593667984008789</v>
      </c>
      <c r="AZ27" s="44">
        <f t="shared" si="17"/>
        <v>9.1404571533203125</v>
      </c>
      <c r="BA27" s="44"/>
      <c r="BB27" s="4" t="s">
        <v>436</v>
      </c>
      <c r="BC27" s="24" t="s">
        <v>32</v>
      </c>
      <c r="BD27" s="44" t="e">
        <f>AR27*#REF!</f>
        <v>#REF!</v>
      </c>
      <c r="BE27" s="44" t="e">
        <f>AS27*#REF!</f>
        <v>#REF!</v>
      </c>
      <c r="BF27" s="44" t="e">
        <f>AT27*#REF!</f>
        <v>#REF!</v>
      </c>
      <c r="BG27" s="44" t="e">
        <f>AU27*#REF!</f>
        <v>#REF!</v>
      </c>
      <c r="BH27" s="44" t="e">
        <f>AV27*#REF!</f>
        <v>#REF!</v>
      </c>
      <c r="BI27" s="44" t="e">
        <f>AW27*#REF!</f>
        <v>#REF!</v>
      </c>
      <c r="BJ27" s="44" t="e">
        <f>AX27*#REF!</f>
        <v>#REF!</v>
      </c>
      <c r="BK27" s="44" t="e">
        <f>AY27*#REF!</f>
        <v>#REF!</v>
      </c>
      <c r="BL27" s="44" t="e">
        <f>AZ27*#REF!</f>
        <v>#REF!</v>
      </c>
      <c r="BM27" s="44" t="e">
        <f t="shared" si="18"/>
        <v>#REF!</v>
      </c>
      <c r="BN27" s="83" t="e">
        <f t="shared" si="19"/>
        <v>#REF!</v>
      </c>
      <c r="BP27" s="87">
        <v>90.15220996039676</v>
      </c>
      <c r="BQ27" s="87">
        <v>0.80012431675754414</v>
      </c>
    </row>
    <row r="28" spans="1:69" s="25" customFormat="1" ht="18">
      <c r="A28" s="3" t="s">
        <v>277</v>
      </c>
      <c r="B28" s="3">
        <v>2</v>
      </c>
      <c r="C28" s="21">
        <v>2</v>
      </c>
      <c r="D28" s="22" t="s">
        <v>119</v>
      </c>
      <c r="E28" s="23" t="s">
        <v>291</v>
      </c>
      <c r="F28" s="3"/>
      <c r="G28" s="3"/>
      <c r="H28" s="4" t="s">
        <v>444</v>
      </c>
      <c r="I28" s="24" t="s">
        <v>32</v>
      </c>
      <c r="J28" s="24">
        <v>74</v>
      </c>
      <c r="K28" s="24" t="s">
        <v>118</v>
      </c>
      <c r="L28" s="35">
        <v>20200922</v>
      </c>
      <c r="M28" s="3"/>
      <c r="N28" s="3"/>
      <c r="O28" s="3">
        <v>48.56</v>
      </c>
      <c r="P28" s="3">
        <v>1.35</v>
      </c>
      <c r="Q28" s="3">
        <v>0.48</v>
      </c>
      <c r="R28" s="3">
        <v>30</v>
      </c>
      <c r="S28" s="3">
        <v>1456.9</v>
      </c>
      <c r="T28" s="39">
        <v>26.604811668395996</v>
      </c>
      <c r="U28" s="39">
        <v>26.947365760803223</v>
      </c>
      <c r="V28" s="39">
        <v>27.397255897521973</v>
      </c>
      <c r="W28" s="39">
        <v>27.06330394744873</v>
      </c>
      <c r="X28" s="39">
        <v>26.294977188110352</v>
      </c>
      <c r="Y28" s="39">
        <v>26.045433044433594</v>
      </c>
      <c r="Z28" s="39">
        <v>26.604811668395996</v>
      </c>
      <c r="AA28" s="39">
        <v>26.694962501525879</v>
      </c>
      <c r="AB28" s="39">
        <v>40</v>
      </c>
      <c r="AC28" s="39">
        <v>28.744147300720215</v>
      </c>
      <c r="AD28" s="39">
        <v>36.687490463256836</v>
      </c>
      <c r="AE28" s="39">
        <v>27.133004188537598</v>
      </c>
      <c r="AF28" s="39">
        <v>33.330598831176758</v>
      </c>
      <c r="AG28" s="39">
        <v>27.012598991394043</v>
      </c>
      <c r="AH28" s="39">
        <v>33.604812622070312</v>
      </c>
      <c r="AI28" s="39">
        <v>27.108510971069336</v>
      </c>
      <c r="AJ28" s="39">
        <v>35.912914276123047</v>
      </c>
      <c r="AK28" s="39">
        <v>26.987540245056152</v>
      </c>
      <c r="AL28" s="24" t="s">
        <v>32</v>
      </c>
      <c r="AM28" s="68">
        <f t="shared" si="0"/>
        <v>83.509565055106819</v>
      </c>
      <c r="AP28" s="4" t="s">
        <v>444</v>
      </c>
      <c r="AQ28" s="24" t="s">
        <v>32</v>
      </c>
      <c r="AR28" s="44">
        <f t="shared" si="9"/>
        <v>-0.34255409240722656</v>
      </c>
      <c r="AS28" s="44">
        <f t="shared" si="10"/>
        <v>0.33395195007324219</v>
      </c>
      <c r="AT28" s="44">
        <f t="shared" si="11"/>
        <v>0.24954414367675781</v>
      </c>
      <c r="AU28" s="44">
        <f t="shared" si="12"/>
        <v>-9.0150833129882812E-2</v>
      </c>
      <c r="AV28" s="44">
        <f t="shared" si="13"/>
        <v>11.255852699279785</v>
      </c>
      <c r="AW28" s="44">
        <f t="shared" si="14"/>
        <v>9.5544862747192383</v>
      </c>
      <c r="AX28" s="44">
        <f t="shared" si="15"/>
        <v>6.3179998397827148</v>
      </c>
      <c r="AY28" s="44">
        <f t="shared" si="16"/>
        <v>6.4963016510009766</v>
      </c>
      <c r="AZ28" s="44">
        <f t="shared" si="17"/>
        <v>8.9253740310668945</v>
      </c>
      <c r="BA28" s="44"/>
      <c r="BB28" s="4" t="s">
        <v>444</v>
      </c>
      <c r="BC28" s="24" t="s">
        <v>32</v>
      </c>
      <c r="BD28" s="44" t="e">
        <f>AR28*#REF!</f>
        <v>#REF!</v>
      </c>
      <c r="BE28" s="44" t="e">
        <f>AS28*#REF!</f>
        <v>#REF!</v>
      </c>
      <c r="BF28" s="44" t="e">
        <f>AT28*#REF!</f>
        <v>#REF!</v>
      </c>
      <c r="BG28" s="44" t="e">
        <f>AU28*#REF!</f>
        <v>#REF!</v>
      </c>
      <c r="BH28" s="44" t="e">
        <f>AV28*#REF!</f>
        <v>#REF!</v>
      </c>
      <c r="BI28" s="44" t="e">
        <f>AW28*#REF!</f>
        <v>#REF!</v>
      </c>
      <c r="BJ28" s="44" t="e">
        <f>AX28*#REF!</f>
        <v>#REF!</v>
      </c>
      <c r="BK28" s="44" t="e">
        <f>AY28*#REF!</f>
        <v>#REF!</v>
      </c>
      <c r="BL28" s="44" t="e">
        <f>AZ28*#REF!</f>
        <v>#REF!</v>
      </c>
      <c r="BM28" s="44" t="e">
        <f t="shared" si="18"/>
        <v>#REF!</v>
      </c>
      <c r="BN28" s="83" t="e">
        <f t="shared" si="19"/>
        <v>#REF!</v>
      </c>
      <c r="BP28" s="87">
        <v>83.509565055106819</v>
      </c>
      <c r="BQ28" s="87">
        <v>0.77240478266777057</v>
      </c>
    </row>
    <row r="29" spans="1:69" s="25" customFormat="1" ht="18">
      <c r="A29" s="3" t="s">
        <v>277</v>
      </c>
      <c r="B29" s="3">
        <v>3</v>
      </c>
      <c r="C29" s="21">
        <v>3</v>
      </c>
      <c r="D29" s="22" t="s">
        <v>120</v>
      </c>
      <c r="E29" s="23" t="s">
        <v>292</v>
      </c>
      <c r="F29" s="3"/>
      <c r="G29" s="3"/>
      <c r="H29" s="4" t="s">
        <v>445</v>
      </c>
      <c r="I29" s="24" t="s">
        <v>32</v>
      </c>
      <c r="J29" s="24">
        <v>77</v>
      </c>
      <c r="K29" s="24" t="s">
        <v>118</v>
      </c>
      <c r="L29" s="35">
        <v>20190611</v>
      </c>
      <c r="M29" s="3"/>
      <c r="N29" s="3"/>
      <c r="O29" s="3">
        <v>74.7</v>
      </c>
      <c r="P29" s="3">
        <v>1.38</v>
      </c>
      <c r="Q29" s="3">
        <v>0.49</v>
      </c>
      <c r="R29" s="3">
        <v>30</v>
      </c>
      <c r="S29" s="3">
        <v>2241</v>
      </c>
      <c r="T29" s="39">
        <v>25.229777336120605</v>
      </c>
      <c r="U29" s="39">
        <v>26.81120777130127</v>
      </c>
      <c r="V29" s="39">
        <v>26.388439178466797</v>
      </c>
      <c r="W29" s="39">
        <v>26.921492576599121</v>
      </c>
      <c r="X29" s="39">
        <v>25.401415824890137</v>
      </c>
      <c r="Y29" s="39">
        <v>25.659854888916016</v>
      </c>
      <c r="Z29" s="39">
        <v>25.229777336120605</v>
      </c>
      <c r="AA29" s="39">
        <v>26.266777038574219</v>
      </c>
      <c r="AB29" s="39">
        <v>39.263565063476562</v>
      </c>
      <c r="AC29" s="39">
        <v>28.57346248626709</v>
      </c>
      <c r="AD29" s="39">
        <v>34.301013946533203</v>
      </c>
      <c r="AE29" s="39">
        <v>26.916661262512207</v>
      </c>
      <c r="AF29" s="39">
        <v>32.005117416381836</v>
      </c>
      <c r="AG29" s="39">
        <v>26.918875694274902</v>
      </c>
      <c r="AH29" s="39">
        <v>32.178127288818359</v>
      </c>
      <c r="AI29" s="39">
        <v>26.959295272827148</v>
      </c>
      <c r="AJ29" s="39">
        <v>34.025482177734375</v>
      </c>
      <c r="AK29" s="39">
        <v>26.85655403137207</v>
      </c>
      <c r="AL29" s="24" t="s">
        <v>32</v>
      </c>
      <c r="AM29" s="68">
        <f t="shared" si="0"/>
        <v>96.382459269078268</v>
      </c>
      <c r="AP29" s="4" t="s">
        <v>445</v>
      </c>
      <c r="AQ29" s="24" t="s">
        <v>32</v>
      </c>
      <c r="AR29" s="44">
        <f t="shared" si="9"/>
        <v>-1.5814304351806641</v>
      </c>
      <c r="AS29" s="44">
        <f t="shared" si="10"/>
        <v>-0.53305339813232422</v>
      </c>
      <c r="AT29" s="44">
        <f t="shared" si="11"/>
        <v>-0.25843906402587891</v>
      </c>
      <c r="AU29" s="44">
        <f t="shared" si="12"/>
        <v>-1.0369997024536133</v>
      </c>
      <c r="AV29" s="44">
        <f t="shared" si="13"/>
        <v>10.690102577209473</v>
      </c>
      <c r="AW29" s="44">
        <f t="shared" si="14"/>
        <v>7.3843526840209961</v>
      </c>
      <c r="AX29" s="44">
        <f t="shared" si="15"/>
        <v>5.0862417221069336</v>
      </c>
      <c r="AY29" s="44">
        <f t="shared" si="16"/>
        <v>5.2188320159912109</v>
      </c>
      <c r="AZ29" s="44">
        <f t="shared" si="17"/>
        <v>7.1689281463623047</v>
      </c>
      <c r="BA29" s="44"/>
      <c r="BB29" s="4" t="s">
        <v>445</v>
      </c>
      <c r="BC29" s="24" t="s">
        <v>32</v>
      </c>
      <c r="BD29" s="44" t="e">
        <f>AR29*#REF!</f>
        <v>#REF!</v>
      </c>
      <c r="BE29" s="44" t="e">
        <f>AS29*#REF!</f>
        <v>#REF!</v>
      </c>
      <c r="BF29" s="44" t="e">
        <f>AT29*#REF!</f>
        <v>#REF!</v>
      </c>
      <c r="BG29" s="44" t="e">
        <f>AU29*#REF!</f>
        <v>#REF!</v>
      </c>
      <c r="BH29" s="44" t="e">
        <f>AV29*#REF!</f>
        <v>#REF!</v>
      </c>
      <c r="BI29" s="44" t="e">
        <f>AW29*#REF!</f>
        <v>#REF!</v>
      </c>
      <c r="BJ29" s="44" t="e">
        <f>AX29*#REF!</f>
        <v>#REF!</v>
      </c>
      <c r="BK29" s="44" t="e">
        <f>AY29*#REF!</f>
        <v>#REF!</v>
      </c>
      <c r="BL29" s="44" t="e">
        <f>AZ29*#REF!</f>
        <v>#REF!</v>
      </c>
      <c r="BM29" s="44" t="e">
        <f t="shared" si="18"/>
        <v>#REF!</v>
      </c>
      <c r="BN29" s="83" t="e">
        <f t="shared" si="19"/>
        <v>#REF!</v>
      </c>
      <c r="BP29" s="87">
        <v>96.382459269078268</v>
      </c>
      <c r="BQ29" s="87">
        <v>0.92446092857367546</v>
      </c>
    </row>
    <row r="30" spans="1:69" s="52" customFormat="1" ht="18">
      <c r="A30" s="47" t="s">
        <v>276</v>
      </c>
      <c r="B30" s="47">
        <v>4</v>
      </c>
      <c r="C30" s="53">
        <v>4</v>
      </c>
      <c r="D30" s="54" t="s">
        <v>121</v>
      </c>
      <c r="E30" s="55" t="s">
        <v>293</v>
      </c>
      <c r="F30" s="47"/>
      <c r="G30" s="47"/>
      <c r="H30" s="49" t="s">
        <v>446</v>
      </c>
      <c r="I30" s="56" t="s">
        <v>32</v>
      </c>
      <c r="J30" s="56">
        <v>77</v>
      </c>
      <c r="K30" s="56" t="s">
        <v>118</v>
      </c>
      <c r="L30" s="57">
        <v>20190807</v>
      </c>
      <c r="M30" s="47"/>
      <c r="N30" s="47"/>
      <c r="O30" s="47">
        <v>41.42</v>
      </c>
      <c r="P30" s="47">
        <v>1.32</v>
      </c>
      <c r="Q30" s="47">
        <v>0.45</v>
      </c>
      <c r="R30" s="47">
        <v>30</v>
      </c>
      <c r="S30" s="47">
        <v>1242.5999999999999</v>
      </c>
      <c r="T30" s="58">
        <v>27.933792114257812</v>
      </c>
      <c r="U30" s="58">
        <v>26.93841552734375</v>
      </c>
      <c r="V30" s="58">
        <v>25.753476142883301</v>
      </c>
      <c r="W30" s="58">
        <v>27.035662651062012</v>
      </c>
      <c r="X30" s="58">
        <v>31.827373504638672</v>
      </c>
      <c r="Y30" s="58">
        <v>27.033048629760742</v>
      </c>
      <c r="Z30" s="58">
        <v>27.933792114257812</v>
      </c>
      <c r="AA30" s="58">
        <v>26.932591438293457</v>
      </c>
      <c r="AB30" s="58">
        <v>40</v>
      </c>
      <c r="AC30" s="58">
        <v>28.761073112487793</v>
      </c>
      <c r="AD30" s="58">
        <v>33.484333038330078</v>
      </c>
      <c r="AE30" s="58">
        <v>26.979401588439941</v>
      </c>
      <c r="AF30" s="58">
        <v>36.806303024291992</v>
      </c>
      <c r="AG30" s="58">
        <v>27.03752613067627</v>
      </c>
      <c r="AH30" s="58">
        <v>30.729473114013672</v>
      </c>
      <c r="AI30" s="58">
        <v>26.962040901184082</v>
      </c>
      <c r="AJ30" s="58">
        <v>35.98175048828125</v>
      </c>
      <c r="AK30" s="58">
        <v>27.146992683410645</v>
      </c>
      <c r="AL30" s="56" t="s">
        <v>32</v>
      </c>
      <c r="AM30" s="66">
        <f t="shared" si="0"/>
        <v>2.0322711104585816</v>
      </c>
      <c r="AN30" s="59" t="s">
        <v>542</v>
      </c>
      <c r="AO30" s="59"/>
      <c r="AP30" s="49" t="s">
        <v>446</v>
      </c>
      <c r="AQ30" s="56" t="s">
        <v>32</v>
      </c>
      <c r="AR30" s="44">
        <f t="shared" si="9"/>
        <v>0.9953765869140625</v>
      </c>
      <c r="AS30" s="44">
        <f t="shared" si="10"/>
        <v>-1.2821865081787109</v>
      </c>
      <c r="AT30" s="44">
        <f t="shared" si="11"/>
        <v>4.7943248748779297</v>
      </c>
      <c r="AU30" s="44">
        <f t="shared" si="12"/>
        <v>1.0012006759643555</v>
      </c>
      <c r="AV30" s="44">
        <f t="shared" si="13"/>
        <v>11.238926887512207</v>
      </c>
      <c r="AW30" s="44">
        <f t="shared" si="14"/>
        <v>6.5049314498901367</v>
      </c>
      <c r="AX30" s="44">
        <f t="shared" si="15"/>
        <v>9.7687768936157227</v>
      </c>
      <c r="AY30" s="44">
        <f t="shared" si="16"/>
        <v>3.7674322128295898</v>
      </c>
      <c r="AZ30" s="44">
        <f t="shared" si="17"/>
        <v>8.8347578048706055</v>
      </c>
      <c r="BA30" s="44"/>
      <c r="BB30" s="49" t="s">
        <v>446</v>
      </c>
      <c r="BC30" s="56" t="s">
        <v>32</v>
      </c>
      <c r="BD30" s="44" t="e">
        <f>AR30*#REF!</f>
        <v>#REF!</v>
      </c>
      <c r="BE30" s="44" t="e">
        <f>AS30*#REF!</f>
        <v>#REF!</v>
      </c>
      <c r="BF30" s="44" t="e">
        <f>AT30*#REF!</f>
        <v>#REF!</v>
      </c>
      <c r="BG30" s="44" t="e">
        <f>AU30*#REF!</f>
        <v>#REF!</v>
      </c>
      <c r="BH30" s="44" t="e">
        <f>AV30*#REF!</f>
        <v>#REF!</v>
      </c>
      <c r="BI30" s="44" t="e">
        <f>AW30*#REF!</f>
        <v>#REF!</v>
      </c>
      <c r="BJ30" s="44" t="e">
        <f>AX30*#REF!</f>
        <v>#REF!</v>
      </c>
      <c r="BK30" s="44" t="e">
        <f>AY30*#REF!</f>
        <v>#REF!</v>
      </c>
      <c r="BL30" s="44" t="e">
        <f>AZ30*#REF!</f>
        <v>#REF!</v>
      </c>
      <c r="BM30" s="44" t="e">
        <f t="shared" si="18"/>
        <v>#REF!</v>
      </c>
      <c r="BN30" s="67" t="e">
        <f t="shared" si="19"/>
        <v>#REF!</v>
      </c>
      <c r="BO30" s="59" t="s">
        <v>542</v>
      </c>
      <c r="BP30" s="86">
        <v>2.0322711104585816</v>
      </c>
      <c r="BQ30" s="86">
        <v>0.20376203672616361</v>
      </c>
    </row>
    <row r="31" spans="1:69" s="25" customFormat="1" ht="18">
      <c r="A31" s="3" t="s">
        <v>276</v>
      </c>
      <c r="B31" s="3">
        <v>5</v>
      </c>
      <c r="C31" s="21">
        <v>5</v>
      </c>
      <c r="D31" s="22" t="s">
        <v>122</v>
      </c>
      <c r="E31" s="23" t="s">
        <v>294</v>
      </c>
      <c r="F31" s="3"/>
      <c r="G31" s="3"/>
      <c r="H31" s="4" t="s">
        <v>447</v>
      </c>
      <c r="I31" s="24" t="s">
        <v>32</v>
      </c>
      <c r="J31" s="24">
        <v>79</v>
      </c>
      <c r="K31" s="24" t="s">
        <v>118</v>
      </c>
      <c r="L31" s="35">
        <v>20201005</v>
      </c>
      <c r="M31" s="3"/>
      <c r="N31" s="3"/>
      <c r="O31" s="3">
        <v>39.18</v>
      </c>
      <c r="P31" s="3">
        <v>1.32</v>
      </c>
      <c r="Q31" s="3">
        <v>0.45</v>
      </c>
      <c r="R31" s="3">
        <v>30</v>
      </c>
      <c r="S31" s="3">
        <v>1175.5</v>
      </c>
      <c r="T31" s="39">
        <v>27.078451156616211</v>
      </c>
      <c r="U31" s="39">
        <v>27.08153247833252</v>
      </c>
      <c r="V31" s="39">
        <v>26.36106014251709</v>
      </c>
      <c r="W31" s="39">
        <v>26.877161026000977</v>
      </c>
      <c r="X31" s="39">
        <v>25.947898864746094</v>
      </c>
      <c r="Y31" s="39">
        <v>26.056036949157715</v>
      </c>
      <c r="Z31" s="39">
        <v>27.078451156616211</v>
      </c>
      <c r="AA31" s="39">
        <v>26.848450660705566</v>
      </c>
      <c r="AB31" s="39">
        <v>39.869161605834961</v>
      </c>
      <c r="AC31" s="39">
        <v>28.826680183410645</v>
      </c>
      <c r="AD31" s="39">
        <v>34.821403503417969</v>
      </c>
      <c r="AE31" s="39">
        <v>27.085169792175293</v>
      </c>
      <c r="AF31" s="39">
        <v>33.916423797607422</v>
      </c>
      <c r="AG31" s="39">
        <v>27.06486988067627</v>
      </c>
      <c r="AH31" s="39">
        <v>31.92948055267334</v>
      </c>
      <c r="AI31" s="39">
        <v>27.098247528076172</v>
      </c>
      <c r="AJ31" s="39">
        <v>36.26801872253418</v>
      </c>
      <c r="AK31" s="39">
        <v>27.202700614929199</v>
      </c>
      <c r="AL31" s="24" t="s">
        <v>32</v>
      </c>
      <c r="AM31" s="68">
        <f t="shared" si="0"/>
        <v>71.717507930248658</v>
      </c>
      <c r="AP31" s="4" t="s">
        <v>447</v>
      </c>
      <c r="AQ31" s="24" t="s">
        <v>32</v>
      </c>
      <c r="AR31" s="44">
        <f t="shared" si="9"/>
        <v>-3.0813217163085938E-3</v>
      </c>
      <c r="AS31" s="44">
        <f t="shared" si="10"/>
        <v>-0.51610088348388672</v>
      </c>
      <c r="AT31" s="44">
        <f t="shared" si="11"/>
        <v>-0.10813808441162109</v>
      </c>
      <c r="AU31" s="44">
        <f t="shared" si="12"/>
        <v>0.23000049591064453</v>
      </c>
      <c r="AV31" s="44">
        <f t="shared" si="13"/>
        <v>11.042481422424316</v>
      </c>
      <c r="AW31" s="44">
        <f t="shared" si="14"/>
        <v>7.7362337112426758</v>
      </c>
      <c r="AX31" s="44">
        <f t="shared" si="15"/>
        <v>6.8515539169311523</v>
      </c>
      <c r="AY31" s="44">
        <f t="shared" si="16"/>
        <v>4.831233024597168</v>
      </c>
      <c r="AZ31" s="44">
        <f t="shared" si="17"/>
        <v>9.0653181076049805</v>
      </c>
      <c r="BA31" s="44"/>
      <c r="BB31" s="4" t="s">
        <v>447</v>
      </c>
      <c r="BC31" s="24" t="s">
        <v>32</v>
      </c>
      <c r="BD31" s="44" t="e">
        <f>AR31*#REF!</f>
        <v>#REF!</v>
      </c>
      <c r="BE31" s="44" t="e">
        <f>AS31*#REF!</f>
        <v>#REF!</v>
      </c>
      <c r="BF31" s="44" t="e">
        <f>AT31*#REF!</f>
        <v>#REF!</v>
      </c>
      <c r="BG31" s="44" t="e">
        <f>AU31*#REF!</f>
        <v>#REF!</v>
      </c>
      <c r="BH31" s="44" t="e">
        <f>AV31*#REF!</f>
        <v>#REF!</v>
      </c>
      <c r="BI31" s="44" t="e">
        <f>AW31*#REF!</f>
        <v>#REF!</v>
      </c>
      <c r="BJ31" s="44" t="e">
        <f>AX31*#REF!</f>
        <v>#REF!</v>
      </c>
      <c r="BK31" s="44" t="e">
        <f>AY31*#REF!</f>
        <v>#REF!</v>
      </c>
      <c r="BL31" s="44" t="e">
        <f>AZ31*#REF!</f>
        <v>#REF!</v>
      </c>
      <c r="BM31" s="44" t="e">
        <f t="shared" si="18"/>
        <v>#REF!</v>
      </c>
      <c r="BN31" s="83" t="e">
        <f t="shared" si="19"/>
        <v>#REF!</v>
      </c>
      <c r="BP31" s="87">
        <v>71.717507930248658</v>
      </c>
      <c r="BQ31" s="87">
        <v>0.85902553289274641</v>
      </c>
    </row>
    <row r="32" spans="1:69" s="25" customFormat="1" ht="18">
      <c r="A32" s="3" t="s">
        <v>276</v>
      </c>
      <c r="B32" s="3">
        <v>6</v>
      </c>
      <c r="C32" s="21">
        <v>6</v>
      </c>
      <c r="D32" s="22" t="s">
        <v>123</v>
      </c>
      <c r="E32" s="23" t="s">
        <v>295</v>
      </c>
      <c r="F32" s="3"/>
      <c r="G32" s="3"/>
      <c r="H32" s="4" t="s">
        <v>448</v>
      </c>
      <c r="I32" s="24" t="s">
        <v>32</v>
      </c>
      <c r="J32" s="24">
        <v>79</v>
      </c>
      <c r="K32" s="24" t="s">
        <v>118</v>
      </c>
      <c r="L32" s="35">
        <v>20191029</v>
      </c>
      <c r="M32" s="3"/>
      <c r="N32" s="3"/>
      <c r="O32" s="3">
        <v>39.799999999999997</v>
      </c>
      <c r="P32" s="3">
        <v>1.34</v>
      </c>
      <c r="Q32" s="3">
        <v>0.46</v>
      </c>
      <c r="R32" s="3">
        <v>30</v>
      </c>
      <c r="S32" s="3">
        <v>1194</v>
      </c>
      <c r="T32" s="39">
        <v>27.409048080444336</v>
      </c>
      <c r="U32" s="39">
        <v>28.694740295410156</v>
      </c>
      <c r="V32" s="39">
        <v>26.731234550476074</v>
      </c>
      <c r="W32" s="39">
        <v>28.552369117736816</v>
      </c>
      <c r="X32" s="39">
        <v>26.92625617980957</v>
      </c>
      <c r="Y32" s="39">
        <v>27.809292793273926</v>
      </c>
      <c r="Z32" s="39">
        <v>25.881397247314453</v>
      </c>
      <c r="AA32" s="39">
        <v>27.876277923583984</v>
      </c>
      <c r="AB32" s="39">
        <v>37.717214584350586</v>
      </c>
      <c r="AC32" s="39">
        <v>30.711934089660645</v>
      </c>
      <c r="AD32" s="39">
        <v>33.649757385253906</v>
      </c>
      <c r="AE32" s="39">
        <v>28.864825248718262</v>
      </c>
      <c r="AF32" s="39">
        <v>32.456039428710938</v>
      </c>
      <c r="AG32" s="39">
        <v>28.750565528869629</v>
      </c>
      <c r="AH32" s="39">
        <v>30.960238456726074</v>
      </c>
      <c r="AI32" s="39">
        <v>28.471607208251953</v>
      </c>
      <c r="AJ32" s="39">
        <v>33.803977966308594</v>
      </c>
      <c r="AK32" s="39">
        <v>28.823869705200195</v>
      </c>
      <c r="AL32" s="24" t="s">
        <v>32</v>
      </c>
      <c r="AM32" s="68">
        <f t="shared" si="0"/>
        <v>99.925286697573128</v>
      </c>
      <c r="AP32" s="4" t="s">
        <v>448</v>
      </c>
      <c r="AQ32" s="24" t="s">
        <v>32</v>
      </c>
      <c r="AR32" s="44">
        <f t="shared" si="9"/>
        <v>-1.2856922149658203</v>
      </c>
      <c r="AS32" s="44">
        <f t="shared" si="10"/>
        <v>-1.8211345672607422</v>
      </c>
      <c r="AT32" s="44">
        <f t="shared" si="11"/>
        <v>-0.88303661346435547</v>
      </c>
      <c r="AU32" s="44">
        <f t="shared" si="12"/>
        <v>-1.9948806762695312</v>
      </c>
      <c r="AV32" s="44">
        <f t="shared" si="13"/>
        <v>7.0052804946899414</v>
      </c>
      <c r="AW32" s="44">
        <f t="shared" si="14"/>
        <v>4.7849321365356445</v>
      </c>
      <c r="AX32" s="44">
        <f t="shared" si="15"/>
        <v>3.7054738998413086</v>
      </c>
      <c r="AY32" s="44">
        <f t="shared" si="16"/>
        <v>2.4886312484741211</v>
      </c>
      <c r="AZ32" s="44">
        <f t="shared" si="17"/>
        <v>4.9801082611083984</v>
      </c>
      <c r="BA32" s="44"/>
      <c r="BB32" s="4" t="s">
        <v>448</v>
      </c>
      <c r="BC32" s="24" t="s">
        <v>32</v>
      </c>
      <c r="BD32" s="44" t="e">
        <f>AR32*#REF!</f>
        <v>#REF!</v>
      </c>
      <c r="BE32" s="44" t="e">
        <f>AS32*#REF!</f>
        <v>#REF!</v>
      </c>
      <c r="BF32" s="44" t="e">
        <f>AT32*#REF!</f>
        <v>#REF!</v>
      </c>
      <c r="BG32" s="44" t="e">
        <f>AU32*#REF!</f>
        <v>#REF!</v>
      </c>
      <c r="BH32" s="44" t="e">
        <f>AV32*#REF!</f>
        <v>#REF!</v>
      </c>
      <c r="BI32" s="44" t="e">
        <f>AW32*#REF!</f>
        <v>#REF!</v>
      </c>
      <c r="BJ32" s="44" t="e">
        <f>AX32*#REF!</f>
        <v>#REF!</v>
      </c>
      <c r="BK32" s="44" t="e">
        <f>AY32*#REF!</f>
        <v>#REF!</v>
      </c>
      <c r="BL32" s="44" t="e">
        <f>AZ32*#REF!</f>
        <v>#REF!</v>
      </c>
      <c r="BM32" s="44" t="e">
        <f t="shared" si="18"/>
        <v>#REF!</v>
      </c>
      <c r="BN32" s="83" t="e">
        <f t="shared" si="19"/>
        <v>#REF!</v>
      </c>
      <c r="BP32" s="87">
        <v>99.925286697573128</v>
      </c>
      <c r="BQ32" s="87">
        <v>0.99714905794022068</v>
      </c>
    </row>
    <row r="33" spans="1:69" s="25" customFormat="1" ht="18">
      <c r="A33" s="3" t="s">
        <v>276</v>
      </c>
      <c r="B33" s="3">
        <v>7</v>
      </c>
      <c r="C33" s="21">
        <v>7</v>
      </c>
      <c r="D33" s="22" t="s">
        <v>124</v>
      </c>
      <c r="E33" s="23" t="s">
        <v>296</v>
      </c>
      <c r="F33" s="3"/>
      <c r="G33" s="3"/>
      <c r="H33" s="4" t="s">
        <v>449</v>
      </c>
      <c r="I33" s="24" t="s">
        <v>32</v>
      </c>
      <c r="J33" s="24">
        <v>79</v>
      </c>
      <c r="K33" s="24" t="s">
        <v>118</v>
      </c>
      <c r="L33" s="35">
        <v>20210112</v>
      </c>
      <c r="M33" s="3"/>
      <c r="N33" s="3"/>
      <c r="O33" s="3">
        <v>47.68</v>
      </c>
      <c r="P33" s="3">
        <v>1.34</v>
      </c>
      <c r="Q33" s="3">
        <v>0.46</v>
      </c>
      <c r="R33" s="3">
        <v>30</v>
      </c>
      <c r="S33" s="3">
        <v>1430.3</v>
      </c>
      <c r="T33" s="39">
        <v>26.250125885009766</v>
      </c>
      <c r="U33" s="39">
        <v>25.949980735778809</v>
      </c>
      <c r="V33" s="39">
        <v>24.544410705566406</v>
      </c>
      <c r="W33" s="39">
        <v>25.957157135009766</v>
      </c>
      <c r="X33" s="39">
        <v>23.483121871948242</v>
      </c>
      <c r="Y33" s="39">
        <v>25.058533668518066</v>
      </c>
      <c r="Z33" s="39">
        <v>23.710227012634277</v>
      </c>
      <c r="AA33" s="39">
        <v>25.287683486938477</v>
      </c>
      <c r="AB33" s="39">
        <v>35.129922866821289</v>
      </c>
      <c r="AC33" s="39">
        <v>27.916190147399902</v>
      </c>
      <c r="AD33" s="39">
        <v>32.066211700439453</v>
      </c>
      <c r="AE33" s="39">
        <v>26.011377334594727</v>
      </c>
      <c r="AF33" s="39">
        <v>29.612837791442871</v>
      </c>
      <c r="AG33" s="39">
        <v>26.001930236816406</v>
      </c>
      <c r="AH33" s="39">
        <v>29.540103912353516</v>
      </c>
      <c r="AI33" s="39">
        <v>25.871405601501465</v>
      </c>
      <c r="AJ33" s="39">
        <v>31.667819023132324</v>
      </c>
      <c r="AK33" s="39">
        <v>25.954428672790527</v>
      </c>
      <c r="AL33" s="24" t="s">
        <v>32</v>
      </c>
      <c r="AM33" s="68">
        <f t="shared" si="0"/>
        <v>99.973316473928634</v>
      </c>
      <c r="AP33" s="4" t="s">
        <v>449</v>
      </c>
      <c r="AQ33" s="24" t="s">
        <v>32</v>
      </c>
      <c r="AR33" s="44">
        <f t="shared" si="9"/>
        <v>0.30014514923095703</v>
      </c>
      <c r="AS33" s="44">
        <f t="shared" si="10"/>
        <v>-1.4127464294433594</v>
      </c>
      <c r="AT33" s="44">
        <f t="shared" si="11"/>
        <v>-1.5754117965698242</v>
      </c>
      <c r="AU33" s="44">
        <f t="shared" si="12"/>
        <v>-1.5774564743041992</v>
      </c>
      <c r="AV33" s="44">
        <f t="shared" si="13"/>
        <v>7.2137327194213867</v>
      </c>
      <c r="AW33" s="44">
        <f t="shared" si="14"/>
        <v>6.0548343658447266</v>
      </c>
      <c r="AX33" s="44">
        <f t="shared" si="15"/>
        <v>3.6109075546264648</v>
      </c>
      <c r="AY33" s="44">
        <f t="shared" si="16"/>
        <v>3.6686983108520508</v>
      </c>
      <c r="AZ33" s="44">
        <f t="shared" si="17"/>
        <v>5.7133903503417969</v>
      </c>
      <c r="BA33" s="44"/>
      <c r="BB33" s="4" t="s">
        <v>449</v>
      </c>
      <c r="BC33" s="24" t="s">
        <v>32</v>
      </c>
      <c r="BD33" s="44" t="e">
        <f>AR33*#REF!</f>
        <v>#REF!</v>
      </c>
      <c r="BE33" s="44" t="e">
        <f>AS33*#REF!</f>
        <v>#REF!</v>
      </c>
      <c r="BF33" s="44" t="e">
        <f>AT33*#REF!</f>
        <v>#REF!</v>
      </c>
      <c r="BG33" s="44" t="e">
        <f>AU33*#REF!</f>
        <v>#REF!</v>
      </c>
      <c r="BH33" s="44" t="e">
        <f>AV33*#REF!</f>
        <v>#REF!</v>
      </c>
      <c r="BI33" s="44" t="e">
        <f>AW33*#REF!</f>
        <v>#REF!</v>
      </c>
      <c r="BJ33" s="44" t="e">
        <f>AX33*#REF!</f>
        <v>#REF!</v>
      </c>
      <c r="BK33" s="44" t="e">
        <f>AY33*#REF!</f>
        <v>#REF!</v>
      </c>
      <c r="BL33" s="44" t="e">
        <f>AZ33*#REF!</f>
        <v>#REF!</v>
      </c>
      <c r="BM33" s="44" t="e">
        <f t="shared" si="18"/>
        <v>#REF!</v>
      </c>
      <c r="BN33" s="83" t="e">
        <f t="shared" si="19"/>
        <v>#REF!</v>
      </c>
      <c r="BP33" s="87">
        <v>99.973316473928634</v>
      </c>
      <c r="BQ33" s="87">
        <v>0.99768755629610217</v>
      </c>
    </row>
    <row r="34" spans="1:69" s="25" customFormat="1" ht="18">
      <c r="A34" s="3" t="s">
        <v>276</v>
      </c>
      <c r="B34" s="3">
        <v>8</v>
      </c>
      <c r="C34" s="21">
        <v>8</v>
      </c>
      <c r="D34" s="22" t="s">
        <v>125</v>
      </c>
      <c r="E34" s="23" t="s">
        <v>297</v>
      </c>
      <c r="F34" s="3"/>
      <c r="G34" s="3"/>
      <c r="H34" s="4" t="s">
        <v>450</v>
      </c>
      <c r="I34" s="24" t="s">
        <v>32</v>
      </c>
      <c r="J34" s="24">
        <v>80</v>
      </c>
      <c r="K34" s="24" t="s">
        <v>118</v>
      </c>
      <c r="L34" s="35">
        <v>20190812</v>
      </c>
      <c r="M34" s="3"/>
      <c r="N34" s="3"/>
      <c r="O34" s="3">
        <v>34.020000000000003</v>
      </c>
      <c r="P34" s="3">
        <v>1.33</v>
      </c>
      <c r="Q34" s="3">
        <v>0.44</v>
      </c>
      <c r="R34" s="3">
        <v>30</v>
      </c>
      <c r="S34" s="3">
        <v>1020.5</v>
      </c>
      <c r="T34" s="39">
        <v>26.304183959960938</v>
      </c>
      <c r="U34" s="39">
        <v>26.977445602416992</v>
      </c>
      <c r="V34" s="39">
        <v>25.778803825378418</v>
      </c>
      <c r="W34" s="39">
        <v>26.953971862792969</v>
      </c>
      <c r="X34" s="39">
        <v>26.283920288085938</v>
      </c>
      <c r="Y34" s="39">
        <v>26.14593505859375</v>
      </c>
      <c r="Z34" s="39">
        <v>25.993157386779785</v>
      </c>
      <c r="AA34" s="39">
        <v>26.679010391235352</v>
      </c>
      <c r="AB34" s="39">
        <v>39.07769775390625</v>
      </c>
      <c r="AC34" s="39">
        <v>28.973058700561523</v>
      </c>
      <c r="AD34" s="39">
        <v>33.201923370361328</v>
      </c>
      <c r="AE34" s="39">
        <v>27.16057014465332</v>
      </c>
      <c r="AF34" s="39">
        <v>32.114469528198242</v>
      </c>
      <c r="AG34" s="39">
        <v>27.07334041595459</v>
      </c>
      <c r="AH34" s="39">
        <v>30.761466979980469</v>
      </c>
      <c r="AI34" s="39">
        <v>26.448197364807129</v>
      </c>
      <c r="AJ34" s="39">
        <v>34.060911178588867</v>
      </c>
      <c r="AK34" s="39">
        <v>26.99288272857666</v>
      </c>
      <c r="AL34" s="24" t="s">
        <v>32</v>
      </c>
      <c r="AM34" s="68">
        <f t="shared" ref="AM34:AM66" si="20">1/(1+EXP(-(16.9812 +0.5694*(T34-U34) -0.3622*(AB34-AC34)-1.8146*(AF34-AG34)+0.0423*(AJ34-AK34))))*100</f>
        <v>98.352484275142075</v>
      </c>
      <c r="AP34" s="4" t="s">
        <v>450</v>
      </c>
      <c r="AQ34" s="24" t="s">
        <v>32</v>
      </c>
      <c r="AR34" s="44">
        <f t="shared" si="9"/>
        <v>-0.67326164245605469</v>
      </c>
      <c r="AS34" s="44">
        <f t="shared" si="10"/>
        <v>-1.1751680374145508</v>
      </c>
      <c r="AT34" s="44">
        <f t="shared" si="11"/>
        <v>0.1379852294921875</v>
      </c>
      <c r="AU34" s="44">
        <f t="shared" si="12"/>
        <v>-0.68585300445556641</v>
      </c>
      <c r="AV34" s="44">
        <f t="shared" si="13"/>
        <v>10.104639053344727</v>
      </c>
      <c r="AW34" s="44">
        <f t="shared" si="14"/>
        <v>6.0413532257080078</v>
      </c>
      <c r="AX34" s="44">
        <f t="shared" si="15"/>
        <v>5.0411291122436523</v>
      </c>
      <c r="AY34" s="44">
        <f t="shared" si="16"/>
        <v>4.3132696151733398</v>
      </c>
      <c r="AZ34" s="44">
        <f t="shared" si="17"/>
        <v>7.068028450012207</v>
      </c>
      <c r="BA34" s="44"/>
      <c r="BB34" s="4" t="s">
        <v>450</v>
      </c>
      <c r="BC34" s="24" t="s">
        <v>32</v>
      </c>
      <c r="BD34" s="44" t="e">
        <f>AR34*#REF!</f>
        <v>#REF!</v>
      </c>
      <c r="BE34" s="44" t="e">
        <f>AS34*#REF!</f>
        <v>#REF!</v>
      </c>
      <c r="BF34" s="44" t="e">
        <f>AT34*#REF!</f>
        <v>#REF!</v>
      </c>
      <c r="BG34" s="44" t="e">
        <f>AU34*#REF!</f>
        <v>#REF!</v>
      </c>
      <c r="BH34" s="44" t="e">
        <f>AV34*#REF!</f>
        <v>#REF!</v>
      </c>
      <c r="BI34" s="44" t="e">
        <f>AW34*#REF!</f>
        <v>#REF!</v>
      </c>
      <c r="BJ34" s="44" t="e">
        <f>AX34*#REF!</f>
        <v>#REF!</v>
      </c>
      <c r="BK34" s="44" t="e">
        <f>AY34*#REF!</f>
        <v>#REF!</v>
      </c>
      <c r="BL34" s="44" t="e">
        <f>AZ34*#REF!</f>
        <v>#REF!</v>
      </c>
      <c r="BM34" s="44" t="e">
        <f t="shared" si="18"/>
        <v>#REF!</v>
      </c>
      <c r="BN34" s="83" t="e">
        <f t="shared" si="19"/>
        <v>#REF!</v>
      </c>
      <c r="BP34" s="87">
        <v>98.352484275142075</v>
      </c>
      <c r="BQ34" s="87">
        <v>0.96580333509404126</v>
      </c>
    </row>
    <row r="35" spans="1:69" s="25" customFormat="1" ht="18">
      <c r="A35" s="3" t="s">
        <v>276</v>
      </c>
      <c r="B35" s="3">
        <v>9</v>
      </c>
      <c r="C35" s="21">
        <v>9</v>
      </c>
      <c r="D35" s="22" t="s">
        <v>126</v>
      </c>
      <c r="E35" s="23" t="s">
        <v>298</v>
      </c>
      <c r="F35" s="3"/>
      <c r="G35" s="3"/>
      <c r="H35" s="4" t="s">
        <v>451</v>
      </c>
      <c r="I35" s="24" t="s">
        <v>32</v>
      </c>
      <c r="J35" s="24">
        <v>81</v>
      </c>
      <c r="K35" s="24" t="s">
        <v>118</v>
      </c>
      <c r="L35" s="35">
        <v>20190508</v>
      </c>
      <c r="M35" s="3"/>
      <c r="N35" s="3"/>
      <c r="O35" s="3">
        <v>47.55</v>
      </c>
      <c r="P35" s="3">
        <v>1.36</v>
      </c>
      <c r="Q35" s="3">
        <v>0.47</v>
      </c>
      <c r="R35" s="3">
        <v>30</v>
      </c>
      <c r="S35" s="3">
        <v>1426.5</v>
      </c>
      <c r="T35" s="39">
        <v>26.626113891601562</v>
      </c>
      <c r="U35" s="39">
        <v>26.699151039123535</v>
      </c>
      <c r="V35" s="39">
        <v>26.175350189208984</v>
      </c>
      <c r="W35" s="39">
        <v>26.717814445495605</v>
      </c>
      <c r="X35" s="39">
        <v>25.82192325592041</v>
      </c>
      <c r="Y35" s="39">
        <v>25.767731666564941</v>
      </c>
      <c r="Z35" s="39">
        <v>25.257304191589355</v>
      </c>
      <c r="AA35" s="39">
        <v>26.171638488769531</v>
      </c>
      <c r="AB35" s="39">
        <v>38.146656036376953</v>
      </c>
      <c r="AC35" s="39">
        <v>28.657876968383789</v>
      </c>
      <c r="AD35" s="39">
        <v>33.787958145141602</v>
      </c>
      <c r="AE35" s="39">
        <v>26.774868011474609</v>
      </c>
      <c r="AF35" s="39">
        <v>32.222360610961914</v>
      </c>
      <c r="AG35" s="39">
        <v>26.777454376220703</v>
      </c>
      <c r="AH35" s="39">
        <v>30.928840637207031</v>
      </c>
      <c r="AI35" s="39">
        <v>26.670974731445312</v>
      </c>
      <c r="AJ35" s="39">
        <v>33.572546005249023</v>
      </c>
      <c r="AK35" s="39">
        <v>26.665067672729492</v>
      </c>
      <c r="AL35" s="24" t="s">
        <v>32</v>
      </c>
      <c r="AM35" s="68">
        <f t="shared" si="20"/>
        <v>98.044233114204232</v>
      </c>
      <c r="AP35" s="4" t="s">
        <v>451</v>
      </c>
      <c r="AQ35" s="24" t="s">
        <v>32</v>
      </c>
      <c r="AR35" s="44">
        <f t="shared" si="9"/>
        <v>-7.3037147521972656E-2</v>
      </c>
      <c r="AS35" s="44">
        <f t="shared" si="10"/>
        <v>-0.54246425628662109</v>
      </c>
      <c r="AT35" s="44">
        <f t="shared" si="11"/>
        <v>5.419158935546875E-2</v>
      </c>
      <c r="AU35" s="44">
        <f t="shared" si="12"/>
        <v>-0.91433429718017578</v>
      </c>
      <c r="AV35" s="44">
        <f t="shared" si="13"/>
        <v>9.4887790679931641</v>
      </c>
      <c r="AW35" s="44">
        <f t="shared" si="14"/>
        <v>7.0130901336669922</v>
      </c>
      <c r="AX35" s="44">
        <f t="shared" si="15"/>
        <v>5.4449062347412109</v>
      </c>
      <c r="AY35" s="44">
        <f t="shared" si="16"/>
        <v>4.2578659057617188</v>
      </c>
      <c r="AZ35" s="44">
        <f t="shared" si="17"/>
        <v>6.9074783325195312</v>
      </c>
      <c r="BA35" s="44"/>
      <c r="BB35" s="4" t="s">
        <v>451</v>
      </c>
      <c r="BC35" s="24" t="s">
        <v>32</v>
      </c>
      <c r="BD35" s="44" t="e">
        <f>AR35*#REF!</f>
        <v>#REF!</v>
      </c>
      <c r="BE35" s="44" t="e">
        <f>AS35*#REF!</f>
        <v>#REF!</v>
      </c>
      <c r="BF35" s="44" t="e">
        <f>AT35*#REF!</f>
        <v>#REF!</v>
      </c>
      <c r="BG35" s="44" t="e">
        <f>AU35*#REF!</f>
        <v>#REF!</v>
      </c>
      <c r="BH35" s="44" t="e">
        <f>AV35*#REF!</f>
        <v>#REF!</v>
      </c>
      <c r="BI35" s="44" t="e">
        <f>AW35*#REF!</f>
        <v>#REF!</v>
      </c>
      <c r="BJ35" s="44" t="e">
        <f>AX35*#REF!</f>
        <v>#REF!</v>
      </c>
      <c r="BK35" s="44" t="e">
        <f>AY35*#REF!</f>
        <v>#REF!</v>
      </c>
      <c r="BL35" s="44" t="e">
        <f>AZ35*#REF!</f>
        <v>#REF!</v>
      </c>
      <c r="BM35" s="44" t="e">
        <f t="shared" si="18"/>
        <v>#REF!</v>
      </c>
      <c r="BN35" s="83" t="e">
        <f t="shared" si="19"/>
        <v>#REF!</v>
      </c>
      <c r="BP35" s="87">
        <v>98.044233114204232</v>
      </c>
      <c r="BQ35" s="87">
        <v>0.95639980756906207</v>
      </c>
    </row>
    <row r="36" spans="1:69" s="25" customFormat="1" ht="18">
      <c r="A36" s="3" t="s">
        <v>276</v>
      </c>
      <c r="B36" s="3">
        <v>10</v>
      </c>
      <c r="C36" s="21">
        <v>10</v>
      </c>
      <c r="D36" s="22" t="s">
        <v>127</v>
      </c>
      <c r="E36" s="23" t="s">
        <v>299</v>
      </c>
      <c r="F36" s="3"/>
      <c r="G36" s="3"/>
      <c r="H36" s="4" t="s">
        <v>452</v>
      </c>
      <c r="I36" s="24" t="s">
        <v>32</v>
      </c>
      <c r="J36" s="24">
        <v>81</v>
      </c>
      <c r="K36" s="24" t="s">
        <v>118</v>
      </c>
      <c r="L36" s="36">
        <v>20190730</v>
      </c>
      <c r="M36" s="3"/>
      <c r="N36" s="3"/>
      <c r="O36" s="3">
        <v>57.95</v>
      </c>
      <c r="P36" s="3">
        <v>1.37</v>
      </c>
      <c r="Q36" s="3">
        <v>0.48</v>
      </c>
      <c r="R36" s="3">
        <v>30</v>
      </c>
      <c r="S36" s="3">
        <v>1738.5</v>
      </c>
      <c r="T36" s="39">
        <v>29.630588531494141</v>
      </c>
      <c r="U36" s="39">
        <v>27.177470207214355</v>
      </c>
      <c r="V36" s="39">
        <v>27.905719757080078</v>
      </c>
      <c r="W36" s="39">
        <v>26.813823699951172</v>
      </c>
      <c r="X36" s="39">
        <v>27.517514228820801</v>
      </c>
      <c r="Y36" s="39">
        <v>26.051166534423828</v>
      </c>
      <c r="Z36" s="39">
        <v>26.459999084472656</v>
      </c>
      <c r="AA36" s="39">
        <v>26.499506950378418</v>
      </c>
      <c r="AB36" s="39">
        <v>40</v>
      </c>
      <c r="AC36" s="39">
        <v>28.700529098510742</v>
      </c>
      <c r="AD36" s="39">
        <v>38.296194076538086</v>
      </c>
      <c r="AE36" s="39">
        <v>26.828054428100586</v>
      </c>
      <c r="AF36" s="39">
        <v>32.740236282348633</v>
      </c>
      <c r="AG36" s="39">
        <v>26.866228103637695</v>
      </c>
      <c r="AH36" s="39">
        <v>34.218307495117188</v>
      </c>
      <c r="AI36" s="39">
        <v>26.909868240356445</v>
      </c>
      <c r="AJ36" s="39">
        <v>36.834365844726562</v>
      </c>
      <c r="AK36" s="39">
        <v>27.009469032287598</v>
      </c>
      <c r="AL36" s="24" t="s">
        <v>32</v>
      </c>
      <c r="AM36" s="68">
        <f t="shared" si="20"/>
        <v>98.274003739010666</v>
      </c>
      <c r="AP36" s="4" t="s">
        <v>452</v>
      </c>
      <c r="AQ36" s="24" t="s">
        <v>32</v>
      </c>
      <c r="AR36" s="44">
        <f t="shared" si="9"/>
        <v>2.4531183242797852</v>
      </c>
      <c r="AS36" s="44">
        <f t="shared" si="10"/>
        <v>1.0918960571289062</v>
      </c>
      <c r="AT36" s="44">
        <f t="shared" si="11"/>
        <v>1.4663476943969727</v>
      </c>
      <c r="AU36" s="44">
        <f t="shared" si="12"/>
        <v>-3.9507865905761719E-2</v>
      </c>
      <c r="AV36" s="44">
        <f t="shared" si="13"/>
        <v>11.299470901489258</v>
      </c>
      <c r="AW36" s="44">
        <f t="shared" si="14"/>
        <v>11.4681396484375</v>
      </c>
      <c r="AX36" s="44">
        <f t="shared" si="15"/>
        <v>5.8740081787109375</v>
      </c>
      <c r="AY36" s="44">
        <f t="shared" si="16"/>
        <v>7.3084392547607422</v>
      </c>
      <c r="AZ36" s="44">
        <f t="shared" si="17"/>
        <v>9.8248968124389648</v>
      </c>
      <c r="BA36" s="44"/>
      <c r="BB36" s="4" t="s">
        <v>452</v>
      </c>
      <c r="BC36" s="24" t="s">
        <v>32</v>
      </c>
      <c r="BD36" s="44" t="e">
        <f>AR36*#REF!</f>
        <v>#REF!</v>
      </c>
      <c r="BE36" s="44" t="e">
        <f>AS36*#REF!</f>
        <v>#REF!</v>
      </c>
      <c r="BF36" s="44" t="e">
        <f>AT36*#REF!</f>
        <v>#REF!</v>
      </c>
      <c r="BG36" s="44" t="e">
        <f>AU36*#REF!</f>
        <v>#REF!</v>
      </c>
      <c r="BH36" s="44" t="e">
        <f>AV36*#REF!</f>
        <v>#REF!</v>
      </c>
      <c r="BI36" s="44" t="e">
        <f>AW36*#REF!</f>
        <v>#REF!</v>
      </c>
      <c r="BJ36" s="44" t="e">
        <f>AX36*#REF!</f>
        <v>#REF!</v>
      </c>
      <c r="BK36" s="44" t="e">
        <f>AY36*#REF!</f>
        <v>#REF!</v>
      </c>
      <c r="BL36" s="44" t="e">
        <f>AZ36*#REF!</f>
        <v>#REF!</v>
      </c>
      <c r="BM36" s="44" t="e">
        <f t="shared" si="18"/>
        <v>#REF!</v>
      </c>
      <c r="BN36" s="83" t="e">
        <f t="shared" si="19"/>
        <v>#REF!</v>
      </c>
      <c r="BP36" s="87">
        <v>98.274003739010666</v>
      </c>
      <c r="BQ36" s="87">
        <v>0.78032124239967882</v>
      </c>
    </row>
    <row r="37" spans="1:69" s="25" customFormat="1" ht="18">
      <c r="A37" s="3" t="s">
        <v>276</v>
      </c>
      <c r="B37" s="3">
        <v>11</v>
      </c>
      <c r="C37" s="21">
        <v>11</v>
      </c>
      <c r="D37" s="22" t="s">
        <v>128</v>
      </c>
      <c r="E37" s="23" t="s">
        <v>300</v>
      </c>
      <c r="F37" s="3"/>
      <c r="G37" s="3"/>
      <c r="H37" s="4" t="s">
        <v>453</v>
      </c>
      <c r="I37" s="24" t="s">
        <v>32</v>
      </c>
      <c r="J37" s="24">
        <v>83</v>
      </c>
      <c r="K37" s="24" t="s">
        <v>118</v>
      </c>
      <c r="L37" s="35">
        <v>20190625</v>
      </c>
      <c r="M37" s="3"/>
      <c r="N37" s="3"/>
      <c r="O37" s="3">
        <v>40.49</v>
      </c>
      <c r="P37" s="3">
        <v>1.32</v>
      </c>
      <c r="Q37" s="3">
        <v>0.45</v>
      </c>
      <c r="R37" s="3">
        <v>30</v>
      </c>
      <c r="S37" s="3">
        <v>1214.5999999999999</v>
      </c>
      <c r="T37" s="45">
        <v>27.083975791931152</v>
      </c>
      <c r="U37" s="39">
        <v>27.00955867767334</v>
      </c>
      <c r="V37" s="39">
        <v>26.44419002532959</v>
      </c>
      <c r="W37" s="39">
        <v>26.891867637634277</v>
      </c>
      <c r="X37" s="39">
        <v>24.589456558227539</v>
      </c>
      <c r="Y37" s="39">
        <v>25.86888599395752</v>
      </c>
      <c r="Z37" s="39">
        <v>24.396639823913574</v>
      </c>
      <c r="AA37" s="39">
        <v>26.115120887756348</v>
      </c>
      <c r="AB37" s="39">
        <v>35.975183486938477</v>
      </c>
      <c r="AC37" s="39">
        <v>28.723435401916504</v>
      </c>
      <c r="AD37" s="39">
        <v>33.893095016479492</v>
      </c>
      <c r="AE37" s="39">
        <v>26.963815689086914</v>
      </c>
      <c r="AF37" s="39">
        <v>30.642679214477539</v>
      </c>
      <c r="AG37" s="39">
        <v>26.923057556152344</v>
      </c>
      <c r="AH37" s="39">
        <v>31.651066780090332</v>
      </c>
      <c r="AI37" s="39">
        <v>26.958831787109375</v>
      </c>
      <c r="AJ37" s="39">
        <v>33.128765106201172</v>
      </c>
      <c r="AK37" s="39">
        <v>26.946592330932617</v>
      </c>
      <c r="AL37" s="24" t="s">
        <v>32</v>
      </c>
      <c r="AM37" s="68">
        <f t="shared" si="20"/>
        <v>99.963266554287543</v>
      </c>
      <c r="AP37" s="4" t="s">
        <v>453</v>
      </c>
      <c r="AQ37" s="24" t="s">
        <v>32</v>
      </c>
      <c r="AR37" s="44">
        <f t="shared" si="9"/>
        <v>7.44171142578125E-2</v>
      </c>
      <c r="AS37" s="44">
        <f t="shared" si="10"/>
        <v>-0.4476776123046875</v>
      </c>
      <c r="AT37" s="44">
        <f t="shared" si="11"/>
        <v>-1.2794294357299805</v>
      </c>
      <c r="AU37" s="44">
        <f t="shared" si="12"/>
        <v>-1.7184810638427734</v>
      </c>
      <c r="AV37" s="44">
        <f t="shared" si="13"/>
        <v>7.2517480850219727</v>
      </c>
      <c r="AW37" s="44">
        <f t="shared" si="14"/>
        <v>6.9292793273925781</v>
      </c>
      <c r="AX37" s="44">
        <f t="shared" si="15"/>
        <v>3.7196216583251953</v>
      </c>
      <c r="AY37" s="44">
        <f t="shared" si="16"/>
        <v>4.692234992980957</v>
      </c>
      <c r="AZ37" s="44">
        <f t="shared" si="17"/>
        <v>6.1821727752685547</v>
      </c>
      <c r="BA37" s="44"/>
      <c r="BB37" s="4" t="s">
        <v>453</v>
      </c>
      <c r="BC37" s="24" t="s">
        <v>32</v>
      </c>
      <c r="BD37" s="44" t="e">
        <f>AR37*#REF!</f>
        <v>#REF!</v>
      </c>
      <c r="BE37" s="44" t="e">
        <f>AS37*#REF!</f>
        <v>#REF!</v>
      </c>
      <c r="BF37" s="44" t="e">
        <f>AT37*#REF!</f>
        <v>#REF!</v>
      </c>
      <c r="BG37" s="44" t="e">
        <f>AU37*#REF!</f>
        <v>#REF!</v>
      </c>
      <c r="BH37" s="44" t="e">
        <f>AV37*#REF!</f>
        <v>#REF!</v>
      </c>
      <c r="BI37" s="44" t="e">
        <f>AW37*#REF!</f>
        <v>#REF!</v>
      </c>
      <c r="BJ37" s="44" t="e">
        <f>AX37*#REF!</f>
        <v>#REF!</v>
      </c>
      <c r="BK37" s="44" t="e">
        <f>AY37*#REF!</f>
        <v>#REF!</v>
      </c>
      <c r="BL37" s="44" t="e">
        <f>AZ37*#REF!</f>
        <v>#REF!</v>
      </c>
      <c r="BM37" s="44" t="e">
        <f t="shared" si="18"/>
        <v>#REF!</v>
      </c>
      <c r="BN37" s="83" t="e">
        <f t="shared" si="19"/>
        <v>#REF!</v>
      </c>
      <c r="BP37" s="87">
        <v>99.963266554287543</v>
      </c>
      <c r="BQ37" s="87">
        <v>0.9956224617165147</v>
      </c>
    </row>
    <row r="38" spans="1:69" s="25" customFormat="1" ht="18">
      <c r="A38" s="3" t="s">
        <v>276</v>
      </c>
      <c r="B38" s="3">
        <v>12</v>
      </c>
      <c r="C38" s="21">
        <v>12</v>
      </c>
      <c r="D38" s="22" t="s">
        <v>129</v>
      </c>
      <c r="E38" s="23" t="s">
        <v>301</v>
      </c>
      <c r="F38" s="3"/>
      <c r="G38" s="3"/>
      <c r="H38" s="4" t="s">
        <v>454</v>
      </c>
      <c r="I38" s="24" t="s">
        <v>32</v>
      </c>
      <c r="J38" s="24">
        <v>83</v>
      </c>
      <c r="K38" s="24" t="s">
        <v>118</v>
      </c>
      <c r="L38" s="35">
        <v>20210406</v>
      </c>
      <c r="M38" s="3"/>
      <c r="N38" s="3"/>
      <c r="O38" s="3">
        <v>34.65</v>
      </c>
      <c r="P38" s="3">
        <v>1.32</v>
      </c>
      <c r="Q38" s="3">
        <v>0.45</v>
      </c>
      <c r="R38" s="3">
        <v>30</v>
      </c>
      <c r="S38" s="3">
        <v>1039.5999999999999</v>
      </c>
      <c r="T38" s="45">
        <v>29.442655563354492</v>
      </c>
      <c r="U38" s="39">
        <v>26.673979759216309</v>
      </c>
      <c r="V38" s="39">
        <v>28.359831809997559</v>
      </c>
      <c r="W38" s="39">
        <v>26.562040328979492</v>
      </c>
      <c r="X38" s="39">
        <v>27.925332069396973</v>
      </c>
      <c r="Y38" s="39">
        <v>25.947539329528809</v>
      </c>
      <c r="Z38" s="39">
        <v>26.252500534057617</v>
      </c>
      <c r="AA38" s="39">
        <v>26.209284782409668</v>
      </c>
      <c r="AB38" s="39">
        <v>39.316812515258789</v>
      </c>
      <c r="AC38" s="39">
        <v>28.422743797302246</v>
      </c>
      <c r="AD38" s="39">
        <v>38.270229339599609</v>
      </c>
      <c r="AE38" s="39">
        <v>26.544922828674316</v>
      </c>
      <c r="AF38" s="39">
        <v>33.709924697875977</v>
      </c>
      <c r="AG38" s="39">
        <v>26.601813316345215</v>
      </c>
      <c r="AH38" s="39">
        <v>34.239406585693359</v>
      </c>
      <c r="AI38" s="39">
        <v>26.673598289489746</v>
      </c>
      <c r="AJ38" s="39">
        <v>37.276935577392578</v>
      </c>
      <c r="AK38" s="39">
        <v>26.659738540649414</v>
      </c>
      <c r="AL38" s="24" t="s">
        <v>32</v>
      </c>
      <c r="AM38" s="68">
        <f t="shared" si="20"/>
        <v>89.683856986421134</v>
      </c>
      <c r="AP38" s="4" t="s">
        <v>454</v>
      </c>
      <c r="AQ38" s="24" t="s">
        <v>32</v>
      </c>
      <c r="AR38" s="44">
        <f t="shared" si="9"/>
        <v>2.7686758041381836</v>
      </c>
      <c r="AS38" s="44">
        <f t="shared" si="10"/>
        <v>1.7977914810180664</v>
      </c>
      <c r="AT38" s="44">
        <f t="shared" si="11"/>
        <v>1.9777927398681641</v>
      </c>
      <c r="AU38" s="44">
        <f t="shared" si="12"/>
        <v>4.3215751647949219E-2</v>
      </c>
      <c r="AV38" s="44">
        <f t="shared" si="13"/>
        <v>10.894068717956543</v>
      </c>
      <c r="AW38" s="44">
        <f t="shared" si="14"/>
        <v>11.725306510925293</v>
      </c>
      <c r="AX38" s="44">
        <f t="shared" si="15"/>
        <v>7.1081113815307617</v>
      </c>
      <c r="AY38" s="44">
        <f t="shared" si="16"/>
        <v>7.5658082962036133</v>
      </c>
      <c r="AZ38" s="44">
        <f t="shared" si="17"/>
        <v>10.617197036743164</v>
      </c>
      <c r="BA38" s="44"/>
      <c r="BB38" s="4" t="s">
        <v>454</v>
      </c>
      <c r="BC38" s="24" t="s">
        <v>32</v>
      </c>
      <c r="BD38" s="44" t="e">
        <f>AR38*#REF!</f>
        <v>#REF!</v>
      </c>
      <c r="BE38" s="44" t="e">
        <f>AS38*#REF!</f>
        <v>#REF!</v>
      </c>
      <c r="BF38" s="44" t="e">
        <f>AT38*#REF!</f>
        <v>#REF!</v>
      </c>
      <c r="BG38" s="44" t="e">
        <f>AU38*#REF!</f>
        <v>#REF!</v>
      </c>
      <c r="BH38" s="44" t="e">
        <f>AV38*#REF!</f>
        <v>#REF!</v>
      </c>
      <c r="BI38" s="44" t="e">
        <f>AW38*#REF!</f>
        <v>#REF!</v>
      </c>
      <c r="BJ38" s="44" t="e">
        <f>AX38*#REF!</f>
        <v>#REF!</v>
      </c>
      <c r="BK38" s="44" t="e">
        <f>AY38*#REF!</f>
        <v>#REF!</v>
      </c>
      <c r="BL38" s="44" t="e">
        <f>AZ38*#REF!</f>
        <v>#REF!</v>
      </c>
      <c r="BM38" s="44" t="e">
        <f t="shared" si="18"/>
        <v>#REF!</v>
      </c>
      <c r="BN38" s="83" t="e">
        <f t="shared" si="19"/>
        <v>#REF!</v>
      </c>
      <c r="BO38" s="25" t="s">
        <v>548</v>
      </c>
      <c r="BP38" s="87">
        <v>89.683856986421134</v>
      </c>
      <c r="BQ38" s="87">
        <v>0.56235530889190566</v>
      </c>
    </row>
    <row r="39" spans="1:69" s="25" customFormat="1" ht="18">
      <c r="A39" s="3" t="s">
        <v>276</v>
      </c>
      <c r="B39" s="3">
        <v>13</v>
      </c>
      <c r="C39" s="21">
        <v>13</v>
      </c>
      <c r="D39" s="22" t="s">
        <v>130</v>
      </c>
      <c r="E39" s="23" t="s">
        <v>302</v>
      </c>
      <c r="F39" s="3"/>
      <c r="G39" s="3"/>
      <c r="H39" s="4" t="s">
        <v>455</v>
      </c>
      <c r="I39" s="24" t="s">
        <v>32</v>
      </c>
      <c r="J39" s="24">
        <v>83</v>
      </c>
      <c r="K39" s="24" t="s">
        <v>118</v>
      </c>
      <c r="L39" s="35">
        <v>20190813</v>
      </c>
      <c r="M39" s="3"/>
      <c r="N39" s="3"/>
      <c r="O39" s="3">
        <v>46.96</v>
      </c>
      <c r="P39" s="3">
        <v>1.33</v>
      </c>
      <c r="Q39" s="3">
        <v>0.45</v>
      </c>
      <c r="R39" s="3">
        <v>30</v>
      </c>
      <c r="S39" s="3">
        <v>1408.8</v>
      </c>
      <c r="T39" s="45">
        <v>26.491237640380859</v>
      </c>
      <c r="U39" s="39">
        <v>27.635905265808105</v>
      </c>
      <c r="V39" s="39">
        <v>26.154788970947266</v>
      </c>
      <c r="W39" s="39">
        <v>27.627856254577637</v>
      </c>
      <c r="X39" s="39">
        <v>26.055638313293457</v>
      </c>
      <c r="Y39" s="39">
        <v>26.881305694580078</v>
      </c>
      <c r="Z39" s="39">
        <v>25.616582870483398</v>
      </c>
      <c r="AA39" s="39">
        <v>27.104691505432129</v>
      </c>
      <c r="AB39" s="39">
        <v>37.020336151123047</v>
      </c>
      <c r="AC39" s="39">
        <v>29.627935409545898</v>
      </c>
      <c r="AD39" s="39">
        <v>32.928041458129883</v>
      </c>
      <c r="AE39" s="39">
        <v>27.895230293273926</v>
      </c>
      <c r="AF39" s="39">
        <v>32.373001098632812</v>
      </c>
      <c r="AG39" s="39">
        <v>27.892437934875488</v>
      </c>
      <c r="AH39" s="39">
        <v>30.36623477935791</v>
      </c>
      <c r="AI39" s="39">
        <v>27.522777557373047</v>
      </c>
      <c r="AJ39" s="39">
        <v>33.269594192504883</v>
      </c>
      <c r="AK39" s="39">
        <v>27.667021751403809</v>
      </c>
      <c r="AL39" s="24" t="s">
        <v>32</v>
      </c>
      <c r="AM39" s="68">
        <f t="shared" si="20"/>
        <v>99.685395323253005</v>
      </c>
      <c r="AP39" s="4" t="s">
        <v>455</v>
      </c>
      <c r="AQ39" s="24" t="s">
        <v>32</v>
      </c>
      <c r="AR39" s="44">
        <f t="shared" si="9"/>
        <v>-1.1446676254272461</v>
      </c>
      <c r="AS39" s="44">
        <f t="shared" si="10"/>
        <v>-1.4730672836303711</v>
      </c>
      <c r="AT39" s="44">
        <f t="shared" si="11"/>
        <v>-0.82566738128662109</v>
      </c>
      <c r="AU39" s="44">
        <f t="shared" si="12"/>
        <v>-1.4881086349487305</v>
      </c>
      <c r="AV39" s="44">
        <f t="shared" si="13"/>
        <v>7.3924007415771484</v>
      </c>
      <c r="AW39" s="44">
        <f t="shared" si="14"/>
        <v>5.032811164855957</v>
      </c>
      <c r="AX39" s="44">
        <f t="shared" si="15"/>
        <v>4.4805631637573242</v>
      </c>
      <c r="AY39" s="44">
        <f t="shared" si="16"/>
        <v>2.8434572219848633</v>
      </c>
      <c r="AZ39" s="44">
        <f t="shared" si="17"/>
        <v>5.6025724411010742</v>
      </c>
      <c r="BA39" s="44"/>
      <c r="BB39" s="4" t="s">
        <v>455</v>
      </c>
      <c r="BC39" s="24" t="s">
        <v>32</v>
      </c>
      <c r="BD39" s="44" t="e">
        <f>AR39*#REF!</f>
        <v>#REF!</v>
      </c>
      <c r="BE39" s="44" t="e">
        <f>AS39*#REF!</f>
        <v>#REF!</v>
      </c>
      <c r="BF39" s="44" t="e">
        <f>AT39*#REF!</f>
        <v>#REF!</v>
      </c>
      <c r="BG39" s="44" t="e">
        <f>AU39*#REF!</f>
        <v>#REF!</v>
      </c>
      <c r="BH39" s="44" t="e">
        <f>AV39*#REF!</f>
        <v>#REF!</v>
      </c>
      <c r="BI39" s="44" t="e">
        <f>AW39*#REF!</f>
        <v>#REF!</v>
      </c>
      <c r="BJ39" s="44" t="e">
        <f>AX39*#REF!</f>
        <v>#REF!</v>
      </c>
      <c r="BK39" s="44" t="e">
        <f>AY39*#REF!</f>
        <v>#REF!</v>
      </c>
      <c r="BL39" s="44" t="e">
        <f>AZ39*#REF!</f>
        <v>#REF!</v>
      </c>
      <c r="BM39" s="44" t="e">
        <f t="shared" si="18"/>
        <v>#REF!</v>
      </c>
      <c r="BN39" s="83" t="e">
        <f t="shared" si="19"/>
        <v>#REF!</v>
      </c>
      <c r="BP39" s="87">
        <v>99.685395323253005</v>
      </c>
      <c r="BQ39" s="87">
        <v>0.99434064084989815</v>
      </c>
    </row>
    <row r="40" spans="1:69" s="52" customFormat="1" ht="18">
      <c r="A40" s="47" t="s">
        <v>276</v>
      </c>
      <c r="B40" s="47">
        <v>14</v>
      </c>
      <c r="C40" s="53">
        <v>14</v>
      </c>
      <c r="D40" s="54" t="s">
        <v>131</v>
      </c>
      <c r="E40" s="55" t="s">
        <v>303</v>
      </c>
      <c r="F40" s="47"/>
      <c r="G40" s="47"/>
      <c r="H40" s="49" t="s">
        <v>456</v>
      </c>
      <c r="I40" s="56" t="s">
        <v>32</v>
      </c>
      <c r="J40" s="56">
        <v>83</v>
      </c>
      <c r="K40" s="56" t="s">
        <v>118</v>
      </c>
      <c r="L40" s="57">
        <v>20200908</v>
      </c>
      <c r="M40" s="47"/>
      <c r="N40" s="47"/>
      <c r="O40" s="47">
        <v>34.04</v>
      </c>
      <c r="P40" s="47">
        <v>1.31</v>
      </c>
      <c r="Q40" s="47">
        <v>0.44</v>
      </c>
      <c r="R40" s="47">
        <v>30</v>
      </c>
      <c r="S40" s="47">
        <v>1021.2</v>
      </c>
      <c r="T40" s="63">
        <v>25.812405586242676</v>
      </c>
      <c r="U40" s="58">
        <v>26.798094749450684</v>
      </c>
      <c r="V40" s="58">
        <v>25.46877384185791</v>
      </c>
      <c r="W40" s="58">
        <v>26.77252197265625</v>
      </c>
      <c r="X40" s="58">
        <v>28.050459861755371</v>
      </c>
      <c r="Y40" s="58">
        <v>26.888137817382812</v>
      </c>
      <c r="Z40" s="58">
        <v>27.338047027587891</v>
      </c>
      <c r="AA40" s="58">
        <v>26.741901397705078</v>
      </c>
      <c r="AB40" s="58">
        <v>39.235698699951172</v>
      </c>
      <c r="AC40" s="58">
        <v>28.812609672546387</v>
      </c>
      <c r="AD40" s="58">
        <v>32.763385772705078</v>
      </c>
      <c r="AE40" s="58">
        <v>26.989950180053711</v>
      </c>
      <c r="AF40" s="58">
        <v>34.783336639404297</v>
      </c>
      <c r="AG40" s="58">
        <v>26.949934959411621</v>
      </c>
      <c r="AH40" s="58">
        <v>29.957522392272949</v>
      </c>
      <c r="AI40" s="58">
        <v>26.798020362854004</v>
      </c>
      <c r="AJ40" s="58">
        <v>34.112367630004883</v>
      </c>
      <c r="AK40" s="58">
        <v>26.944404602050781</v>
      </c>
      <c r="AL40" s="56" t="s">
        <v>32</v>
      </c>
      <c r="AM40" s="66">
        <f t="shared" si="20"/>
        <v>21.984324330065256</v>
      </c>
      <c r="AN40" s="52" t="s">
        <v>542</v>
      </c>
      <c r="AP40" s="49" t="s">
        <v>456</v>
      </c>
      <c r="AQ40" s="56" t="s">
        <v>32</v>
      </c>
      <c r="AR40" s="69">
        <f t="shared" si="9"/>
        <v>-0.98568916320800781</v>
      </c>
      <c r="AS40" s="69">
        <f t="shared" si="10"/>
        <v>-1.3037481307983398</v>
      </c>
      <c r="AT40" s="69">
        <f t="shared" si="11"/>
        <v>1.1623220443725586</v>
      </c>
      <c r="AU40" s="69">
        <f t="shared" si="12"/>
        <v>0.5961456298828125</v>
      </c>
      <c r="AV40" s="69">
        <f t="shared" si="13"/>
        <v>10.423089027404785</v>
      </c>
      <c r="AW40" s="69">
        <f t="shared" si="14"/>
        <v>5.7734355926513672</v>
      </c>
      <c r="AX40" s="69">
        <f t="shared" si="15"/>
        <v>7.8334016799926758</v>
      </c>
      <c r="AY40" s="69">
        <f t="shared" si="16"/>
        <v>3.1595020294189453</v>
      </c>
      <c r="AZ40" s="69">
        <f t="shared" si="17"/>
        <v>7.1679630279541016</v>
      </c>
      <c r="BA40" s="69"/>
      <c r="BB40" s="49" t="s">
        <v>456</v>
      </c>
      <c r="BC40" s="56" t="s">
        <v>32</v>
      </c>
      <c r="BD40" s="44" t="e">
        <f>AR40*#REF!</f>
        <v>#REF!</v>
      </c>
      <c r="BE40" s="44" t="e">
        <f>AS40*#REF!</f>
        <v>#REF!</v>
      </c>
      <c r="BF40" s="44" t="e">
        <f>AT40*#REF!</f>
        <v>#REF!</v>
      </c>
      <c r="BG40" s="44" t="e">
        <f>AU40*#REF!</f>
        <v>#REF!</v>
      </c>
      <c r="BH40" s="44" t="e">
        <f>AV40*#REF!</f>
        <v>#REF!</v>
      </c>
      <c r="BI40" s="44" t="e">
        <f>AW40*#REF!</f>
        <v>#REF!</v>
      </c>
      <c r="BJ40" s="44" t="e">
        <f>AX40*#REF!</f>
        <v>#REF!</v>
      </c>
      <c r="BK40" s="44" t="e">
        <f>AY40*#REF!</f>
        <v>#REF!</v>
      </c>
      <c r="BL40" s="44" t="e">
        <f>AZ40*#REF!</f>
        <v>#REF!</v>
      </c>
      <c r="BM40" s="44" t="e">
        <f t="shared" si="18"/>
        <v>#REF!</v>
      </c>
      <c r="BN40" s="83" t="e">
        <f t="shared" si="19"/>
        <v>#REF!</v>
      </c>
      <c r="BP40" s="86">
        <v>21.984324330065256</v>
      </c>
      <c r="BQ40" s="86">
        <v>0.78502292017485564</v>
      </c>
    </row>
    <row r="41" spans="1:69" s="25" customFormat="1" ht="18">
      <c r="A41" s="3" t="s">
        <v>276</v>
      </c>
      <c r="B41" s="3">
        <v>15</v>
      </c>
      <c r="C41" s="21">
        <v>15</v>
      </c>
      <c r="D41" s="22" t="s">
        <v>132</v>
      </c>
      <c r="E41" s="23" t="s">
        <v>304</v>
      </c>
      <c r="F41" s="3"/>
      <c r="G41" s="3"/>
      <c r="H41" s="4" t="s">
        <v>457</v>
      </c>
      <c r="I41" s="24" t="s">
        <v>32</v>
      </c>
      <c r="J41" s="24">
        <v>85</v>
      </c>
      <c r="K41" s="24" t="s">
        <v>118</v>
      </c>
      <c r="L41" s="35">
        <v>20201216</v>
      </c>
      <c r="M41" s="3"/>
      <c r="N41" s="3"/>
      <c r="O41" s="3">
        <v>55.44</v>
      </c>
      <c r="P41" s="3">
        <v>1.35</v>
      </c>
      <c r="Q41" s="3">
        <v>0.47</v>
      </c>
      <c r="R41" s="3">
        <v>30</v>
      </c>
      <c r="S41" s="3">
        <v>1663.3</v>
      </c>
      <c r="T41" s="45">
        <v>25.740513801574707</v>
      </c>
      <c r="U41" s="39">
        <v>27.326390266418457</v>
      </c>
      <c r="V41" s="39">
        <v>25.316884994506836</v>
      </c>
      <c r="W41" s="39">
        <v>27.254513740539551</v>
      </c>
      <c r="X41" s="39">
        <v>25.002843856811523</v>
      </c>
      <c r="Y41" s="39">
        <v>26.399323463439941</v>
      </c>
      <c r="Z41" s="39">
        <v>24.924249649047852</v>
      </c>
      <c r="AA41" s="39">
        <v>26.77394962310791</v>
      </c>
      <c r="AB41" s="39">
        <v>36.887184143066406</v>
      </c>
      <c r="AC41" s="39">
        <v>29.462189674377441</v>
      </c>
      <c r="AD41" s="39">
        <v>32.100580215454102</v>
      </c>
      <c r="AE41" s="39">
        <v>27.515898704528809</v>
      </c>
      <c r="AF41" s="39">
        <v>31.117008209228516</v>
      </c>
      <c r="AG41" s="39">
        <v>27.518310546875</v>
      </c>
      <c r="AH41" s="39">
        <v>29.579911231994629</v>
      </c>
      <c r="AI41" s="39">
        <v>27.261868476867676</v>
      </c>
      <c r="AJ41" s="39">
        <v>32.394033432006836</v>
      </c>
      <c r="AK41" s="39">
        <v>27.537884712219238</v>
      </c>
      <c r="AL41" s="24" t="s">
        <v>32</v>
      </c>
      <c r="AM41" s="68">
        <f t="shared" si="20"/>
        <v>99.914545566000825</v>
      </c>
      <c r="AP41" s="4" t="s">
        <v>457</v>
      </c>
      <c r="AQ41" s="24" t="s">
        <v>32</v>
      </c>
      <c r="AR41" s="44">
        <f t="shared" si="9"/>
        <v>-1.58587646484375</v>
      </c>
      <c r="AS41" s="44">
        <f t="shared" si="10"/>
        <v>-1.9376287460327148</v>
      </c>
      <c r="AT41" s="44">
        <f t="shared" si="11"/>
        <v>-1.396479606628418</v>
      </c>
      <c r="AU41" s="44">
        <f t="shared" si="12"/>
        <v>-1.8496999740600586</v>
      </c>
      <c r="AV41" s="44">
        <f t="shared" si="13"/>
        <v>7.4249944686889648</v>
      </c>
      <c r="AW41" s="44">
        <f t="shared" si="14"/>
        <v>4.584681510925293</v>
      </c>
      <c r="AX41" s="44">
        <f t="shared" si="15"/>
        <v>3.5986976623535156</v>
      </c>
      <c r="AY41" s="44">
        <f t="shared" si="16"/>
        <v>2.3180427551269531</v>
      </c>
      <c r="AZ41" s="44">
        <f t="shared" si="17"/>
        <v>4.8561487197875977</v>
      </c>
      <c r="BA41" s="44"/>
      <c r="BB41" s="4" t="s">
        <v>457</v>
      </c>
      <c r="BC41" s="24" t="s">
        <v>32</v>
      </c>
      <c r="BD41" s="44" t="e">
        <f>AR41*#REF!</f>
        <v>#REF!</v>
      </c>
      <c r="BE41" s="44" t="e">
        <f>AS41*#REF!</f>
        <v>#REF!</v>
      </c>
      <c r="BF41" s="44" t="e">
        <f>AT41*#REF!</f>
        <v>#REF!</v>
      </c>
      <c r="BG41" s="44" t="e">
        <f>AU41*#REF!</f>
        <v>#REF!</v>
      </c>
      <c r="BH41" s="44" t="e">
        <f>AV41*#REF!</f>
        <v>#REF!</v>
      </c>
      <c r="BI41" s="44" t="e">
        <f>AW41*#REF!</f>
        <v>#REF!</v>
      </c>
      <c r="BJ41" s="44" t="e">
        <f>AX41*#REF!</f>
        <v>#REF!</v>
      </c>
      <c r="BK41" s="44" t="e">
        <f>AY41*#REF!</f>
        <v>#REF!</v>
      </c>
      <c r="BL41" s="44" t="e">
        <f>AZ41*#REF!</f>
        <v>#REF!</v>
      </c>
      <c r="BM41" s="44" t="e">
        <f t="shared" si="18"/>
        <v>#REF!</v>
      </c>
      <c r="BN41" s="83" t="e">
        <f t="shared" si="19"/>
        <v>#REF!</v>
      </c>
      <c r="BP41" s="87">
        <v>99.914545566000825</v>
      </c>
      <c r="BQ41" s="87">
        <v>0.99750926141354457</v>
      </c>
    </row>
    <row r="42" spans="1:69" s="52" customFormat="1" ht="18">
      <c r="A42" s="47" t="s">
        <v>276</v>
      </c>
      <c r="B42" s="47">
        <v>16</v>
      </c>
      <c r="C42" s="53">
        <v>16</v>
      </c>
      <c r="D42" s="54" t="s">
        <v>133</v>
      </c>
      <c r="E42" s="55" t="s">
        <v>305</v>
      </c>
      <c r="F42" s="47"/>
      <c r="G42" s="47"/>
      <c r="H42" s="49" t="s">
        <v>458</v>
      </c>
      <c r="I42" s="56" t="s">
        <v>32</v>
      </c>
      <c r="J42" s="56">
        <v>68</v>
      </c>
      <c r="K42" s="56" t="s">
        <v>118</v>
      </c>
      <c r="L42" s="57">
        <v>20191106</v>
      </c>
      <c r="M42" s="47"/>
      <c r="N42" s="47"/>
      <c r="O42" s="47">
        <v>51.51</v>
      </c>
      <c r="P42" s="47">
        <v>1.34</v>
      </c>
      <c r="Q42" s="47">
        <v>0.47</v>
      </c>
      <c r="R42" s="47">
        <v>30</v>
      </c>
      <c r="S42" s="47">
        <v>1545.2</v>
      </c>
      <c r="T42" s="58">
        <v>30.140938758850098</v>
      </c>
      <c r="U42" s="58">
        <v>25.750479698181152</v>
      </c>
      <c r="V42" s="58">
        <v>28.018038749694824</v>
      </c>
      <c r="W42" s="58">
        <v>25.712470054626465</v>
      </c>
      <c r="X42" s="58">
        <v>26.861865997314453</v>
      </c>
      <c r="Y42" s="58">
        <v>24.959626197814941</v>
      </c>
      <c r="Z42" s="58">
        <v>28.997125625610352</v>
      </c>
      <c r="AA42" s="58">
        <v>25.709494590759277</v>
      </c>
      <c r="AB42" s="58">
        <v>40</v>
      </c>
      <c r="AC42" s="58">
        <v>27.363626480102539</v>
      </c>
      <c r="AD42" s="58">
        <v>40</v>
      </c>
      <c r="AE42" s="58">
        <v>25.720576286315918</v>
      </c>
      <c r="AF42" s="58">
        <v>35.455907821655273</v>
      </c>
      <c r="AG42" s="58">
        <v>25.610898017883301</v>
      </c>
      <c r="AH42" s="58">
        <v>35.143932342529297</v>
      </c>
      <c r="AI42" s="58">
        <v>25.896997451782227</v>
      </c>
      <c r="AJ42" s="58">
        <v>38.049354553222656</v>
      </c>
      <c r="AK42" s="58">
        <v>25.67729377746582</v>
      </c>
      <c r="AL42" s="56" t="s">
        <v>32</v>
      </c>
      <c r="AM42" s="66">
        <f t="shared" si="20"/>
        <v>8.0380845146174664</v>
      </c>
      <c r="AN42" s="52" t="s">
        <v>542</v>
      </c>
      <c r="AP42" s="49" t="s">
        <v>458</v>
      </c>
      <c r="AQ42" s="56" t="s">
        <v>32</v>
      </c>
      <c r="AR42" s="69">
        <f t="shared" si="9"/>
        <v>4.3904590606689453</v>
      </c>
      <c r="AS42" s="69">
        <f t="shared" si="10"/>
        <v>2.3055686950683594</v>
      </c>
      <c r="AT42" s="69">
        <f t="shared" si="11"/>
        <v>1.9022397994995117</v>
      </c>
      <c r="AU42" s="69">
        <f t="shared" si="12"/>
        <v>3.2876310348510742</v>
      </c>
      <c r="AV42" s="69">
        <f t="shared" si="13"/>
        <v>12.636373519897461</v>
      </c>
      <c r="AW42" s="69">
        <f t="shared" si="14"/>
        <v>14.279423713684082</v>
      </c>
      <c r="AX42" s="69">
        <f t="shared" si="15"/>
        <v>9.8450098037719727</v>
      </c>
      <c r="AY42" s="69">
        <f t="shared" si="16"/>
        <v>9.2469348907470703</v>
      </c>
      <c r="AZ42" s="69">
        <f t="shared" si="17"/>
        <v>12.372060775756836</v>
      </c>
      <c r="BA42" s="69"/>
      <c r="BB42" s="49" t="s">
        <v>458</v>
      </c>
      <c r="BC42" s="56" t="s">
        <v>32</v>
      </c>
      <c r="BD42" s="44" t="e">
        <f>AR42*#REF!</f>
        <v>#REF!</v>
      </c>
      <c r="BE42" s="44" t="e">
        <f>AS42*#REF!</f>
        <v>#REF!</v>
      </c>
      <c r="BF42" s="44" t="e">
        <f>AT42*#REF!</f>
        <v>#REF!</v>
      </c>
      <c r="BG42" s="44" t="e">
        <f>AU42*#REF!</f>
        <v>#REF!</v>
      </c>
      <c r="BH42" s="44" t="e">
        <f>AV42*#REF!</f>
        <v>#REF!</v>
      </c>
      <c r="BI42" s="44" t="e">
        <f>AW42*#REF!</f>
        <v>#REF!</v>
      </c>
      <c r="BJ42" s="44" t="e">
        <f>AX42*#REF!</f>
        <v>#REF!</v>
      </c>
      <c r="BK42" s="44" t="e">
        <f>AY42*#REF!</f>
        <v>#REF!</v>
      </c>
      <c r="BL42" s="44" t="e">
        <f>AZ42*#REF!</f>
        <v>#REF!</v>
      </c>
      <c r="BM42" s="44" t="e">
        <f t="shared" si="18"/>
        <v>#REF!</v>
      </c>
      <c r="BN42" s="67" t="e">
        <f t="shared" si="19"/>
        <v>#REF!</v>
      </c>
      <c r="BO42" s="59" t="s">
        <v>542</v>
      </c>
      <c r="BP42" s="86">
        <v>8.0380845146174664</v>
      </c>
      <c r="BQ42" s="86">
        <v>0.14306103135379497</v>
      </c>
    </row>
    <row r="43" spans="1:69" s="25" customFormat="1" ht="18">
      <c r="A43" s="3" t="s">
        <v>276</v>
      </c>
      <c r="B43" s="3">
        <v>17</v>
      </c>
      <c r="C43" s="21">
        <v>17</v>
      </c>
      <c r="D43" s="22" t="s">
        <v>134</v>
      </c>
      <c r="E43" s="23" t="s">
        <v>306</v>
      </c>
      <c r="F43" s="3"/>
      <c r="G43" s="3"/>
      <c r="H43" s="4" t="s">
        <v>459</v>
      </c>
      <c r="I43" s="24" t="s">
        <v>32</v>
      </c>
      <c r="J43" s="24">
        <v>74</v>
      </c>
      <c r="K43" s="24" t="s">
        <v>118</v>
      </c>
      <c r="L43" s="35">
        <v>20190123</v>
      </c>
      <c r="M43" s="3"/>
      <c r="N43" s="3"/>
      <c r="O43" s="3">
        <v>52.17</v>
      </c>
      <c r="P43" s="3">
        <v>1.36</v>
      </c>
      <c r="Q43" s="3">
        <v>0.48</v>
      </c>
      <c r="R43" s="3">
        <v>30</v>
      </c>
      <c r="S43" s="3">
        <v>1565.2</v>
      </c>
      <c r="T43" s="39">
        <v>26.591707229614258</v>
      </c>
      <c r="U43" s="39">
        <v>26.445732116699219</v>
      </c>
      <c r="V43" s="39">
        <v>25.591926574707031</v>
      </c>
      <c r="W43" s="39">
        <v>26.358029365539551</v>
      </c>
      <c r="X43" s="39">
        <v>25.752556800842285</v>
      </c>
      <c r="Y43" s="39">
        <v>25.487312316894531</v>
      </c>
      <c r="Z43" s="39">
        <v>26.085796356201172</v>
      </c>
      <c r="AA43" s="39">
        <v>26.141465187072754</v>
      </c>
      <c r="AB43" s="39">
        <v>38.216550827026367</v>
      </c>
      <c r="AC43" s="39">
        <v>28.246155738830566</v>
      </c>
      <c r="AD43" s="39">
        <v>34.940603256225586</v>
      </c>
      <c r="AE43" s="39">
        <v>26.480616569519043</v>
      </c>
      <c r="AF43" s="39">
        <v>33.115497589111328</v>
      </c>
      <c r="AG43" s="39">
        <v>26.575625419616699</v>
      </c>
      <c r="AH43" s="39">
        <v>31.137813568115234</v>
      </c>
      <c r="AI43" s="39">
        <v>26.564373016357422</v>
      </c>
      <c r="AJ43" s="39">
        <v>35.392000198364258</v>
      </c>
      <c r="AK43" s="39">
        <v>26.582432746887207</v>
      </c>
      <c r="AL43" s="24" t="s">
        <v>32</v>
      </c>
      <c r="AM43" s="68">
        <f t="shared" si="20"/>
        <v>87.636335290863627</v>
      </c>
      <c r="AP43" s="4" t="s">
        <v>459</v>
      </c>
      <c r="AQ43" s="24" t="s">
        <v>32</v>
      </c>
      <c r="AR43" s="44">
        <f t="shared" si="9"/>
        <v>0.14597511291503906</v>
      </c>
      <c r="AS43" s="44">
        <f t="shared" si="10"/>
        <v>-0.76610279083251953</v>
      </c>
      <c r="AT43" s="44">
        <f t="shared" si="11"/>
        <v>0.26524448394775391</v>
      </c>
      <c r="AU43" s="44">
        <f t="shared" si="12"/>
        <v>-5.5668830871582031E-2</v>
      </c>
      <c r="AV43" s="44">
        <f t="shared" si="13"/>
        <v>9.9703950881958008</v>
      </c>
      <c r="AW43" s="44">
        <f t="shared" si="14"/>
        <v>8.459986686706543</v>
      </c>
      <c r="AX43" s="44">
        <f t="shared" si="15"/>
        <v>6.5398721694946289</v>
      </c>
      <c r="AY43" s="44">
        <f t="shared" si="16"/>
        <v>4.5734405517578125</v>
      </c>
      <c r="AZ43" s="44">
        <f t="shared" si="17"/>
        <v>8.8095674514770508</v>
      </c>
      <c r="BA43" s="44"/>
      <c r="BB43" s="4" t="s">
        <v>459</v>
      </c>
      <c r="BC43" s="24" t="s">
        <v>32</v>
      </c>
      <c r="BD43" s="44" t="e">
        <f>AR43*#REF!</f>
        <v>#REF!</v>
      </c>
      <c r="BE43" s="44" t="e">
        <f>AS43*#REF!</f>
        <v>#REF!</v>
      </c>
      <c r="BF43" s="44" t="e">
        <f>AT43*#REF!</f>
        <v>#REF!</v>
      </c>
      <c r="BG43" s="44" t="e">
        <f>AU43*#REF!</f>
        <v>#REF!</v>
      </c>
      <c r="BH43" s="44" t="e">
        <f>AV43*#REF!</f>
        <v>#REF!</v>
      </c>
      <c r="BI43" s="44" t="e">
        <f>AW43*#REF!</f>
        <v>#REF!</v>
      </c>
      <c r="BJ43" s="44" t="e">
        <f>AX43*#REF!</f>
        <v>#REF!</v>
      </c>
      <c r="BK43" s="44" t="e">
        <f>AY43*#REF!</f>
        <v>#REF!</v>
      </c>
      <c r="BL43" s="44" t="e">
        <f>AZ43*#REF!</f>
        <v>#REF!</v>
      </c>
      <c r="BM43" s="44" t="e">
        <f t="shared" si="18"/>
        <v>#REF!</v>
      </c>
      <c r="BN43" s="83" t="e">
        <f t="shared" si="19"/>
        <v>#REF!</v>
      </c>
      <c r="BP43" s="87">
        <v>87.636335290863627</v>
      </c>
      <c r="BQ43" s="87">
        <v>0.91000874285717948</v>
      </c>
    </row>
    <row r="44" spans="1:69" s="25" customFormat="1" ht="18">
      <c r="A44" s="3" t="s">
        <v>276</v>
      </c>
      <c r="B44" s="3">
        <v>18</v>
      </c>
      <c r="C44" s="21">
        <v>18</v>
      </c>
      <c r="D44" s="26" t="s">
        <v>135</v>
      </c>
      <c r="E44" s="23" t="s">
        <v>307</v>
      </c>
      <c r="F44" s="3"/>
      <c r="G44" s="3"/>
      <c r="H44" s="4" t="s">
        <v>460</v>
      </c>
      <c r="I44" s="24" t="s">
        <v>32</v>
      </c>
      <c r="J44" s="24">
        <v>79</v>
      </c>
      <c r="K44" s="24" t="s">
        <v>118</v>
      </c>
      <c r="L44" s="35">
        <v>20210212</v>
      </c>
      <c r="M44" s="3"/>
      <c r="N44" s="3"/>
      <c r="O44" s="3">
        <v>38.51</v>
      </c>
      <c r="P44" s="3">
        <v>1.33</v>
      </c>
      <c r="Q44" s="3">
        <v>0.47</v>
      </c>
      <c r="R44" s="3">
        <v>30</v>
      </c>
      <c r="S44" s="3">
        <v>1155.4000000000001</v>
      </c>
      <c r="T44" s="39">
        <v>26.324018478393555</v>
      </c>
      <c r="U44" s="39">
        <v>27.369719505310059</v>
      </c>
      <c r="V44" s="39">
        <v>25.548906326293945</v>
      </c>
      <c r="W44" s="39">
        <v>27.330994606018066</v>
      </c>
      <c r="X44" s="39">
        <v>22.491039276123047</v>
      </c>
      <c r="Y44" s="39">
        <v>27.062657356262207</v>
      </c>
      <c r="Z44" s="39">
        <v>25.230588912963867</v>
      </c>
      <c r="AA44" s="39">
        <v>26.818587303161621</v>
      </c>
      <c r="AB44" s="39">
        <v>36.153556823730469</v>
      </c>
      <c r="AC44" s="39">
        <v>29.364565849304199</v>
      </c>
      <c r="AD44" s="39">
        <v>33.404607772827148</v>
      </c>
      <c r="AE44" s="39">
        <v>27.569543838500977</v>
      </c>
      <c r="AF44" s="39">
        <v>30.04469108581543</v>
      </c>
      <c r="AG44" s="39">
        <v>27.49260425567627</v>
      </c>
      <c r="AH44" s="39">
        <v>29.931440353393555</v>
      </c>
      <c r="AI44" s="39">
        <v>27.245692253112793</v>
      </c>
      <c r="AJ44" s="39">
        <v>32.032029151916504</v>
      </c>
      <c r="AK44" s="39">
        <v>27.409426689147949</v>
      </c>
      <c r="AL44" s="24" t="s">
        <v>32</v>
      </c>
      <c r="AM44" s="68">
        <f t="shared" si="20"/>
        <v>99.992450167804463</v>
      </c>
      <c r="AP44" s="4" t="s">
        <v>460</v>
      </c>
      <c r="AQ44" s="24" t="s">
        <v>32</v>
      </c>
      <c r="AR44" s="44">
        <f t="shared" si="9"/>
        <v>-1.0457010269165039</v>
      </c>
      <c r="AS44" s="44">
        <f t="shared" si="10"/>
        <v>-1.7820882797241211</v>
      </c>
      <c r="AT44" s="44">
        <f t="shared" si="11"/>
        <v>-4.5716180801391602</v>
      </c>
      <c r="AU44" s="44">
        <f t="shared" si="12"/>
        <v>-1.5879983901977539</v>
      </c>
      <c r="AV44" s="44">
        <f t="shared" si="13"/>
        <v>6.7889909744262695</v>
      </c>
      <c r="AW44" s="44">
        <f t="shared" si="14"/>
        <v>5.8350639343261719</v>
      </c>
      <c r="AX44" s="44">
        <f t="shared" si="15"/>
        <v>2.5520868301391602</v>
      </c>
      <c r="AY44" s="44">
        <f t="shared" si="16"/>
        <v>2.6857481002807617</v>
      </c>
      <c r="AZ44" s="44">
        <f t="shared" si="17"/>
        <v>4.6226024627685547</v>
      </c>
      <c r="BA44" s="44"/>
      <c r="BB44" s="4" t="s">
        <v>460</v>
      </c>
      <c r="BC44" s="24" t="s">
        <v>32</v>
      </c>
      <c r="BD44" s="44" t="e">
        <f>AR44*#REF!</f>
        <v>#REF!</v>
      </c>
      <c r="BE44" s="44" t="e">
        <f>AS44*#REF!</f>
        <v>#REF!</v>
      </c>
      <c r="BF44" s="44" t="e">
        <f>AT44*#REF!</f>
        <v>#REF!</v>
      </c>
      <c r="BG44" s="44" t="e">
        <f>AU44*#REF!</f>
        <v>#REF!</v>
      </c>
      <c r="BH44" s="44" t="e">
        <f>AV44*#REF!</f>
        <v>#REF!</v>
      </c>
      <c r="BI44" s="44" t="e">
        <f>AW44*#REF!</f>
        <v>#REF!</v>
      </c>
      <c r="BJ44" s="44" t="e">
        <f>AX44*#REF!</f>
        <v>#REF!</v>
      </c>
      <c r="BK44" s="44" t="e">
        <f>AY44*#REF!</f>
        <v>#REF!</v>
      </c>
      <c r="BL44" s="44" t="e">
        <f>AZ44*#REF!</f>
        <v>#REF!</v>
      </c>
      <c r="BM44" s="44" t="e">
        <f t="shared" si="18"/>
        <v>#REF!</v>
      </c>
      <c r="BN44" s="83" t="e">
        <f t="shared" si="19"/>
        <v>#REF!</v>
      </c>
      <c r="BP44" s="87">
        <v>99.992450167804463</v>
      </c>
      <c r="BQ44" s="87">
        <v>0.99966482730268003</v>
      </c>
    </row>
    <row r="45" spans="1:69" s="25" customFormat="1" ht="18">
      <c r="A45" s="3" t="s">
        <v>276</v>
      </c>
      <c r="B45" s="3">
        <v>19</v>
      </c>
      <c r="C45" s="21">
        <v>19</v>
      </c>
      <c r="D45" s="26" t="s">
        <v>136</v>
      </c>
      <c r="E45" s="23" t="s">
        <v>308</v>
      </c>
      <c r="F45" s="3"/>
      <c r="G45" s="3"/>
      <c r="H45" s="4" t="s">
        <v>461</v>
      </c>
      <c r="I45" s="24" t="s">
        <v>32</v>
      </c>
      <c r="J45" s="24">
        <v>79</v>
      </c>
      <c r="K45" s="24" t="s">
        <v>118</v>
      </c>
      <c r="L45" s="35">
        <v>20201111</v>
      </c>
      <c r="M45" s="3"/>
      <c r="N45" s="3"/>
      <c r="O45" s="3">
        <v>50.2</v>
      </c>
      <c r="P45" s="3">
        <v>1.33</v>
      </c>
      <c r="Q45" s="3">
        <v>0.47</v>
      </c>
      <c r="R45" s="3">
        <v>30</v>
      </c>
      <c r="S45" s="3">
        <v>1506.1</v>
      </c>
      <c r="T45" s="39">
        <v>26.985294342041016</v>
      </c>
      <c r="U45" s="39">
        <v>26.061532974243164</v>
      </c>
      <c r="V45" s="39">
        <v>25.752110481262207</v>
      </c>
      <c r="W45" s="39">
        <v>26.062053680419922</v>
      </c>
      <c r="X45" s="39">
        <v>24.76209831237793</v>
      </c>
      <c r="Y45" s="39">
        <v>24.925357818603516</v>
      </c>
      <c r="Z45" s="39">
        <v>25.760476112365723</v>
      </c>
      <c r="AA45" s="39">
        <v>25.750293731689453</v>
      </c>
      <c r="AB45" s="39">
        <v>38.164972305297852</v>
      </c>
      <c r="AC45" s="39">
        <v>27.684612274169922</v>
      </c>
      <c r="AD45" s="39">
        <v>35.518531799316406</v>
      </c>
      <c r="AE45" s="39">
        <v>26.056604385375977</v>
      </c>
      <c r="AF45" s="39">
        <v>32.709894180297852</v>
      </c>
      <c r="AG45" s="39">
        <v>26.098408699035645</v>
      </c>
      <c r="AH45" s="39">
        <v>31.964566230773926</v>
      </c>
      <c r="AI45" s="39">
        <v>26.152683258056641</v>
      </c>
      <c r="AJ45" s="39">
        <v>34.02386474609375</v>
      </c>
      <c r="AK45" s="39">
        <v>26.103172302246094</v>
      </c>
      <c r="AL45" s="24" t="s">
        <v>32</v>
      </c>
      <c r="AM45" s="68">
        <f t="shared" si="20"/>
        <v>88.585129357395786</v>
      </c>
      <c r="AP45" s="4" t="s">
        <v>461</v>
      </c>
      <c r="AQ45" s="24" t="s">
        <v>32</v>
      </c>
      <c r="AR45" s="44">
        <f t="shared" si="9"/>
        <v>0.92376136779785156</v>
      </c>
      <c r="AS45" s="44">
        <f t="shared" si="10"/>
        <v>-0.30994319915771484</v>
      </c>
      <c r="AT45" s="44">
        <f t="shared" si="11"/>
        <v>-0.16325950622558594</v>
      </c>
      <c r="AU45" s="44">
        <f t="shared" si="12"/>
        <v>1.0182380676269531E-2</v>
      </c>
      <c r="AV45" s="44">
        <f t="shared" si="13"/>
        <v>10.48036003112793</v>
      </c>
      <c r="AW45" s="44">
        <f t="shared" si="14"/>
        <v>9.4619274139404297</v>
      </c>
      <c r="AX45" s="44">
        <f t="shared" si="15"/>
        <v>6.611485481262207</v>
      </c>
      <c r="AY45" s="44">
        <f t="shared" si="16"/>
        <v>5.8118829727172852</v>
      </c>
      <c r="AZ45" s="44">
        <f t="shared" si="17"/>
        <v>7.9206924438476562</v>
      </c>
      <c r="BA45" s="44"/>
      <c r="BB45" s="4" t="s">
        <v>461</v>
      </c>
      <c r="BC45" s="24" t="s">
        <v>32</v>
      </c>
      <c r="BD45" s="44" t="e">
        <f>AR45*#REF!</f>
        <v>#REF!</v>
      </c>
      <c r="BE45" s="44" t="e">
        <f>AS45*#REF!</f>
        <v>#REF!</v>
      </c>
      <c r="BF45" s="44" t="e">
        <f>AT45*#REF!</f>
        <v>#REF!</v>
      </c>
      <c r="BG45" s="44" t="e">
        <f>AU45*#REF!</f>
        <v>#REF!</v>
      </c>
      <c r="BH45" s="44" t="e">
        <f>AV45*#REF!</f>
        <v>#REF!</v>
      </c>
      <c r="BI45" s="44" t="e">
        <f>AW45*#REF!</f>
        <v>#REF!</v>
      </c>
      <c r="BJ45" s="44" t="e">
        <f>AX45*#REF!</f>
        <v>#REF!</v>
      </c>
      <c r="BK45" s="44" t="e">
        <f>AY45*#REF!</f>
        <v>#REF!</v>
      </c>
      <c r="BL45" s="44" t="e">
        <f>AZ45*#REF!</f>
        <v>#REF!</v>
      </c>
      <c r="BM45" s="44" t="e">
        <f t="shared" si="18"/>
        <v>#REF!</v>
      </c>
      <c r="BN45" s="83" t="e">
        <f t="shared" si="19"/>
        <v>#REF!</v>
      </c>
      <c r="BP45" s="87">
        <v>88.585129357395786</v>
      </c>
      <c r="BQ45" s="87">
        <v>0.84658140771235912</v>
      </c>
    </row>
    <row r="46" spans="1:69" s="25" customFormat="1" ht="18">
      <c r="A46" s="3" t="s">
        <v>276</v>
      </c>
      <c r="B46" s="3">
        <v>20</v>
      </c>
      <c r="C46" s="21">
        <v>20</v>
      </c>
      <c r="D46" s="26" t="s">
        <v>137</v>
      </c>
      <c r="E46" s="23" t="s">
        <v>309</v>
      </c>
      <c r="F46" s="3"/>
      <c r="G46" s="3"/>
      <c r="H46" s="4" t="s">
        <v>462</v>
      </c>
      <c r="I46" s="24" t="s">
        <v>32</v>
      </c>
      <c r="J46" s="24">
        <v>79</v>
      </c>
      <c r="K46" s="24" t="s">
        <v>118</v>
      </c>
      <c r="L46" s="35">
        <v>20201130</v>
      </c>
      <c r="M46" s="3"/>
      <c r="N46" s="3"/>
      <c r="O46" s="3">
        <v>36.74</v>
      </c>
      <c r="P46" s="3">
        <v>1.31</v>
      </c>
      <c r="Q46" s="3">
        <v>0.45</v>
      </c>
      <c r="R46" s="3">
        <v>30</v>
      </c>
      <c r="S46" s="3">
        <v>1102.3</v>
      </c>
      <c r="T46" s="39">
        <v>26.43195629119873</v>
      </c>
      <c r="U46" s="39">
        <v>26.275513648986816</v>
      </c>
      <c r="V46" s="39">
        <v>25.756049156188965</v>
      </c>
      <c r="W46" s="39">
        <v>26.32430362701416</v>
      </c>
      <c r="X46" s="39">
        <v>24.78669548034668</v>
      </c>
      <c r="Y46" s="39">
        <v>25.22010326385498</v>
      </c>
      <c r="Z46" s="39">
        <v>24.454558372497559</v>
      </c>
      <c r="AA46" s="39">
        <v>25.710417747497559</v>
      </c>
      <c r="AB46" s="39">
        <v>36.93830680847168</v>
      </c>
      <c r="AC46" s="39">
        <v>28.008183479309082</v>
      </c>
      <c r="AD46" s="39">
        <v>34.237541198730469</v>
      </c>
      <c r="AE46" s="39">
        <v>26.382791519165039</v>
      </c>
      <c r="AF46" s="39">
        <v>30.440633773803711</v>
      </c>
      <c r="AG46" s="39">
        <v>26.306090354919434</v>
      </c>
      <c r="AH46" s="39">
        <v>31.224617958068848</v>
      </c>
      <c r="AI46" s="39">
        <v>26.360630035400391</v>
      </c>
      <c r="AJ46" s="39">
        <v>32.392122268676758</v>
      </c>
      <c r="AK46" s="39">
        <v>26.384809494018555</v>
      </c>
      <c r="AL46" s="24" t="s">
        <v>32</v>
      </c>
      <c r="AM46" s="68">
        <f t="shared" si="20"/>
        <v>99.862421574697848</v>
      </c>
      <c r="AP46" s="4" t="s">
        <v>462</v>
      </c>
      <c r="AQ46" s="24" t="s">
        <v>32</v>
      </c>
      <c r="AR46" s="44">
        <f t="shared" si="9"/>
        <v>0.15644264221191406</v>
      </c>
      <c r="AS46" s="44">
        <f t="shared" si="10"/>
        <v>-0.56825447082519531</v>
      </c>
      <c r="AT46" s="44">
        <f t="shared" si="11"/>
        <v>-0.43340778350830078</v>
      </c>
      <c r="AU46" s="44">
        <f t="shared" si="12"/>
        <v>-1.255859375</v>
      </c>
      <c r="AV46" s="44">
        <f t="shared" si="13"/>
        <v>8.9301233291625977</v>
      </c>
      <c r="AW46" s="44">
        <f t="shared" si="14"/>
        <v>7.8547496795654297</v>
      </c>
      <c r="AX46" s="44">
        <f t="shared" si="15"/>
        <v>4.1345434188842773</v>
      </c>
      <c r="AY46" s="44">
        <f t="shared" si="16"/>
        <v>4.863987922668457</v>
      </c>
      <c r="AZ46" s="44">
        <f t="shared" si="17"/>
        <v>6.0073127746582031</v>
      </c>
      <c r="BA46" s="44"/>
      <c r="BB46" s="4" t="s">
        <v>462</v>
      </c>
      <c r="BC46" s="24" t="s">
        <v>32</v>
      </c>
      <c r="BD46" s="44" t="e">
        <f>AR46*#REF!</f>
        <v>#REF!</v>
      </c>
      <c r="BE46" s="44" t="e">
        <f>AS46*#REF!</f>
        <v>#REF!</v>
      </c>
      <c r="BF46" s="44" t="e">
        <f>AT46*#REF!</f>
        <v>#REF!</v>
      </c>
      <c r="BG46" s="44" t="e">
        <f>AU46*#REF!</f>
        <v>#REF!</v>
      </c>
      <c r="BH46" s="44" t="e">
        <f>AV46*#REF!</f>
        <v>#REF!</v>
      </c>
      <c r="BI46" s="44" t="e">
        <f>AW46*#REF!</f>
        <v>#REF!</v>
      </c>
      <c r="BJ46" s="44" t="e">
        <f>AX46*#REF!</f>
        <v>#REF!</v>
      </c>
      <c r="BK46" s="44" t="e">
        <f>AY46*#REF!</f>
        <v>#REF!</v>
      </c>
      <c r="BL46" s="44" t="e">
        <f>AZ46*#REF!</f>
        <v>#REF!</v>
      </c>
      <c r="BM46" s="44" t="e">
        <f t="shared" si="18"/>
        <v>#REF!</v>
      </c>
      <c r="BN46" s="83" t="e">
        <f t="shared" si="19"/>
        <v>#REF!</v>
      </c>
      <c r="BP46" s="87">
        <v>99.862421574697848</v>
      </c>
      <c r="BQ46" s="87">
        <v>0.9844128549624902</v>
      </c>
    </row>
    <row r="47" spans="1:69" s="25" customFormat="1" ht="18">
      <c r="A47" s="3" t="s">
        <v>276</v>
      </c>
      <c r="B47" s="3">
        <v>21</v>
      </c>
      <c r="C47" s="21">
        <v>21</v>
      </c>
      <c r="D47" s="26" t="s">
        <v>138</v>
      </c>
      <c r="E47" s="23" t="s">
        <v>310</v>
      </c>
      <c r="F47" s="3"/>
      <c r="G47" s="3"/>
      <c r="H47" s="4" t="s">
        <v>463</v>
      </c>
      <c r="I47" s="24" t="s">
        <v>32</v>
      </c>
      <c r="J47" s="24">
        <v>80</v>
      </c>
      <c r="K47" s="24" t="s">
        <v>118</v>
      </c>
      <c r="L47" s="35">
        <v>20201102</v>
      </c>
      <c r="M47" s="3"/>
      <c r="N47" s="3"/>
      <c r="O47" s="3">
        <v>46.79</v>
      </c>
      <c r="P47" s="3">
        <v>1.32</v>
      </c>
      <c r="Q47" s="3">
        <v>0.46</v>
      </c>
      <c r="R47" s="3">
        <v>30</v>
      </c>
      <c r="S47" s="3">
        <v>1403.6</v>
      </c>
      <c r="T47" s="39">
        <v>26.208700180053711</v>
      </c>
      <c r="U47" s="39">
        <v>25.692399024963379</v>
      </c>
      <c r="V47" s="39">
        <v>25.601898193359375</v>
      </c>
      <c r="W47" s="39">
        <v>25.656154632568359</v>
      </c>
      <c r="X47" s="39">
        <v>24.524566650390625</v>
      </c>
      <c r="Y47" s="39">
        <v>24.68549633026123</v>
      </c>
      <c r="Z47" s="39">
        <v>24.924362182617188</v>
      </c>
      <c r="AA47" s="39">
        <v>25.296838760375977</v>
      </c>
      <c r="AB47" s="39">
        <v>36.978666305541992</v>
      </c>
      <c r="AC47" s="39">
        <v>27.551358222961426</v>
      </c>
      <c r="AD47" s="39">
        <v>33.749357223510742</v>
      </c>
      <c r="AE47" s="39">
        <v>25.82374382019043</v>
      </c>
      <c r="AF47" s="39">
        <v>30.91673755645752</v>
      </c>
      <c r="AG47" s="39">
        <v>25.711677551269531</v>
      </c>
      <c r="AH47" s="39">
        <v>30.79697322845459</v>
      </c>
      <c r="AI47" s="39">
        <v>25.799346923828125</v>
      </c>
      <c r="AJ47" s="39">
        <v>34.848838806152344</v>
      </c>
      <c r="AK47" s="39">
        <v>25.84620189666748</v>
      </c>
      <c r="AL47" s="24" t="s">
        <v>32</v>
      </c>
      <c r="AM47" s="68">
        <f t="shared" si="20"/>
        <v>99.180758622295116</v>
      </c>
      <c r="AP47" s="4" t="s">
        <v>463</v>
      </c>
      <c r="AQ47" s="24" t="s">
        <v>32</v>
      </c>
      <c r="AR47" s="44">
        <f t="shared" si="9"/>
        <v>0.51630115509033203</v>
      </c>
      <c r="AS47" s="44">
        <f t="shared" si="10"/>
        <v>-5.4256439208984375E-2</v>
      </c>
      <c r="AT47" s="44">
        <f>X47-Y47</f>
        <v>-0.16092967987060547</v>
      </c>
      <c r="AU47" s="44">
        <f t="shared" si="12"/>
        <v>-0.37247657775878906</v>
      </c>
      <c r="AV47" s="44">
        <f t="shared" si="13"/>
        <v>9.4273080825805664</v>
      </c>
      <c r="AW47" s="44">
        <f t="shared" si="14"/>
        <v>7.9256134033203125</v>
      </c>
      <c r="AX47" s="44">
        <f t="shared" si="15"/>
        <v>5.2050600051879883</v>
      </c>
      <c r="AY47" s="44">
        <f t="shared" si="16"/>
        <v>4.9976263046264648</v>
      </c>
      <c r="AZ47" s="44">
        <f t="shared" si="17"/>
        <v>9.0026369094848633</v>
      </c>
      <c r="BA47" s="44"/>
      <c r="BB47" s="4" t="s">
        <v>463</v>
      </c>
      <c r="BC47" s="24" t="s">
        <v>32</v>
      </c>
      <c r="BD47" s="44" t="e">
        <f>AR47*#REF!</f>
        <v>#REF!</v>
      </c>
      <c r="BE47" s="44" t="e">
        <f>AS47*#REF!</f>
        <v>#REF!</v>
      </c>
      <c r="BF47" s="44" t="e">
        <f>AT47*#REF!</f>
        <v>#REF!</v>
      </c>
      <c r="BG47" s="44" t="e">
        <f>AU47*#REF!</f>
        <v>#REF!</v>
      </c>
      <c r="BH47" s="44" t="e">
        <f>AV47*#REF!</f>
        <v>#REF!</v>
      </c>
      <c r="BI47" s="44" t="e">
        <f>AW47*#REF!</f>
        <v>#REF!</v>
      </c>
      <c r="BJ47" s="44" t="e">
        <f>AX47*#REF!</f>
        <v>#REF!</v>
      </c>
      <c r="BK47" s="44" t="e">
        <f>AY47*#REF!</f>
        <v>#REF!</v>
      </c>
      <c r="BL47" s="44" t="e">
        <f>AZ47*#REF!</f>
        <v>#REF!</v>
      </c>
      <c r="BM47" s="44" t="e">
        <f t="shared" si="18"/>
        <v>#REF!</v>
      </c>
      <c r="BN47" s="83" t="e">
        <f t="shared" si="19"/>
        <v>#REF!</v>
      </c>
      <c r="BP47" s="87">
        <v>99.180758622295116</v>
      </c>
      <c r="BQ47" s="87">
        <v>0.97497401707762488</v>
      </c>
    </row>
    <row r="48" spans="1:69" s="25" customFormat="1" ht="18">
      <c r="A48" s="3" t="s">
        <v>276</v>
      </c>
      <c r="B48" s="3">
        <v>22</v>
      </c>
      <c r="C48" s="21">
        <v>22</v>
      </c>
      <c r="D48" s="26" t="s">
        <v>139</v>
      </c>
      <c r="E48" s="23" t="s">
        <v>311</v>
      </c>
      <c r="F48" s="3"/>
      <c r="G48" s="3"/>
      <c r="H48" s="4" t="s">
        <v>464</v>
      </c>
      <c r="I48" s="24" t="s">
        <v>32</v>
      </c>
      <c r="J48" s="24">
        <v>81</v>
      </c>
      <c r="K48" s="24" t="s">
        <v>118</v>
      </c>
      <c r="L48" s="35">
        <v>20200417</v>
      </c>
      <c r="M48" s="3"/>
      <c r="N48" s="3"/>
      <c r="O48" s="3">
        <v>28.54</v>
      </c>
      <c r="P48" s="3">
        <v>1.3</v>
      </c>
      <c r="Q48" s="3">
        <v>0.44</v>
      </c>
      <c r="R48" s="3">
        <v>30</v>
      </c>
      <c r="S48" s="3">
        <v>856.2</v>
      </c>
      <c r="T48" s="39">
        <v>24.707327842712402</v>
      </c>
      <c r="U48" s="39">
        <v>25.936121940612793</v>
      </c>
      <c r="V48" s="39">
        <v>24.045788764953613</v>
      </c>
      <c r="W48" s="39">
        <v>25.908615112304688</v>
      </c>
      <c r="X48" s="39">
        <v>25.159687995910645</v>
      </c>
      <c r="Y48" s="39">
        <v>25.10069465637207</v>
      </c>
      <c r="Z48" s="39">
        <v>24.641098976135254</v>
      </c>
      <c r="AA48" s="39">
        <v>25.602199554443359</v>
      </c>
      <c r="AB48" s="39">
        <v>35.982397079467773</v>
      </c>
      <c r="AC48" s="39">
        <v>27.943819999694824</v>
      </c>
      <c r="AD48" s="39">
        <v>31.385869979858398</v>
      </c>
      <c r="AE48" s="39">
        <v>26.136731147766113</v>
      </c>
      <c r="AF48" s="39">
        <v>30.478135108947754</v>
      </c>
      <c r="AG48" s="39">
        <v>26.054805755615234</v>
      </c>
      <c r="AH48" s="39">
        <v>27.67246150970459</v>
      </c>
      <c r="AI48" s="39">
        <v>25.78764820098877</v>
      </c>
      <c r="AJ48" s="39">
        <v>32.210699081420898</v>
      </c>
      <c r="AK48" s="39">
        <v>26.038908004760742</v>
      </c>
      <c r="AL48" s="24" t="s">
        <v>32</v>
      </c>
      <c r="AM48" s="68">
        <f t="shared" si="20"/>
        <v>99.633204151309187</v>
      </c>
      <c r="AP48" s="4" t="s">
        <v>464</v>
      </c>
      <c r="AQ48" s="24" t="s">
        <v>32</v>
      </c>
      <c r="AR48" s="44">
        <f t="shared" si="9"/>
        <v>-1.2287940979003906</v>
      </c>
      <c r="AS48" s="44">
        <f t="shared" si="10"/>
        <v>-1.8628263473510742</v>
      </c>
      <c r="AT48" s="44">
        <f t="shared" si="11"/>
        <v>5.8993339538574219E-2</v>
      </c>
      <c r="AU48" s="44">
        <f t="shared" si="12"/>
        <v>-0.96110057830810547</v>
      </c>
      <c r="AV48" s="44">
        <f t="shared" si="13"/>
        <v>8.0385770797729492</v>
      </c>
      <c r="AW48" s="44">
        <f t="shared" si="14"/>
        <v>5.2491388320922852</v>
      </c>
      <c r="AX48" s="44">
        <f t="shared" si="15"/>
        <v>4.4233293533325195</v>
      </c>
      <c r="AY48" s="44">
        <f t="shared" si="16"/>
        <v>1.8848133087158203</v>
      </c>
      <c r="AZ48" s="44">
        <f t="shared" si="17"/>
        <v>6.1717910766601562</v>
      </c>
      <c r="BA48" s="44"/>
      <c r="BB48" s="4" t="s">
        <v>464</v>
      </c>
      <c r="BC48" s="24" t="s">
        <v>32</v>
      </c>
      <c r="BD48" s="44" t="e">
        <f>AR48*#REF!</f>
        <v>#REF!</v>
      </c>
      <c r="BE48" s="44" t="e">
        <f>AS48*#REF!</f>
        <v>#REF!</v>
      </c>
      <c r="BF48" s="44" t="e">
        <f>AT48*#REF!</f>
        <v>#REF!</v>
      </c>
      <c r="BG48" s="44" t="e">
        <f>AU48*#REF!</f>
        <v>#REF!</v>
      </c>
      <c r="BH48" s="44" t="e">
        <f>AV48*#REF!</f>
        <v>#REF!</v>
      </c>
      <c r="BI48" s="44" t="e">
        <f>AW48*#REF!</f>
        <v>#REF!</v>
      </c>
      <c r="BJ48" s="44" t="e">
        <f>AX48*#REF!</f>
        <v>#REF!</v>
      </c>
      <c r="BK48" s="44" t="e">
        <f>AY48*#REF!</f>
        <v>#REF!</v>
      </c>
      <c r="BL48" s="44" t="e">
        <f>AZ48*#REF!</f>
        <v>#REF!</v>
      </c>
      <c r="BM48" s="44" t="e">
        <f t="shared" si="18"/>
        <v>#REF!</v>
      </c>
      <c r="BN48" s="83" t="e">
        <f t="shared" si="19"/>
        <v>#REF!</v>
      </c>
      <c r="BP48" s="87">
        <v>99.633204151309187</v>
      </c>
      <c r="BQ48" s="87">
        <v>0.99459729752957549</v>
      </c>
    </row>
    <row r="49" spans="1:69" s="25" customFormat="1" ht="18">
      <c r="A49" s="3" t="s">
        <v>276</v>
      </c>
      <c r="B49" s="3">
        <v>23</v>
      </c>
      <c r="C49" s="21">
        <v>23</v>
      </c>
      <c r="D49" s="26" t="s">
        <v>140</v>
      </c>
      <c r="E49" s="23" t="s">
        <v>312</v>
      </c>
      <c r="F49" s="3"/>
      <c r="G49" s="3"/>
      <c r="H49" s="4" t="s">
        <v>437</v>
      </c>
      <c r="I49" s="24" t="s">
        <v>32</v>
      </c>
      <c r="J49" s="24">
        <v>81</v>
      </c>
      <c r="K49" s="24" t="s">
        <v>118</v>
      </c>
      <c r="L49" s="35">
        <v>20200907</v>
      </c>
      <c r="M49" s="3"/>
      <c r="N49" s="3"/>
      <c r="O49" s="3">
        <v>48.39</v>
      </c>
      <c r="P49" s="3">
        <v>1.33</v>
      </c>
      <c r="Q49" s="3">
        <v>0.45</v>
      </c>
      <c r="R49" s="3">
        <v>30</v>
      </c>
      <c r="S49" s="3">
        <v>1451.8</v>
      </c>
      <c r="T49" s="39">
        <v>26.270416259765625</v>
      </c>
      <c r="U49" s="39">
        <v>26.162481307983398</v>
      </c>
      <c r="V49" s="39">
        <v>25.643603324890137</v>
      </c>
      <c r="W49" s="39">
        <v>26.145340919494629</v>
      </c>
      <c r="X49" s="39">
        <v>25.933194160461426</v>
      </c>
      <c r="Y49" s="39">
        <v>25.325448989868164</v>
      </c>
      <c r="Z49" s="39">
        <v>24.958253860473633</v>
      </c>
      <c r="AA49" s="39">
        <v>25.804950714111328</v>
      </c>
      <c r="AB49" s="39">
        <v>37.492433547973633</v>
      </c>
      <c r="AC49" s="39">
        <v>28.10106086730957</v>
      </c>
      <c r="AD49" s="39">
        <v>34.210533142089844</v>
      </c>
      <c r="AE49" s="39">
        <v>26.469904899597168</v>
      </c>
      <c r="AF49" s="39">
        <v>31.440203666687012</v>
      </c>
      <c r="AG49" s="39">
        <v>26.299251556396484</v>
      </c>
      <c r="AH49" s="39">
        <v>30.88267993927002</v>
      </c>
      <c r="AI49" s="39">
        <v>26.222582817077637</v>
      </c>
      <c r="AJ49" s="39">
        <v>34.122598648071289</v>
      </c>
      <c r="AK49" s="39">
        <v>26.251979827880859</v>
      </c>
      <c r="AL49" s="24" t="s">
        <v>32</v>
      </c>
      <c r="AM49" s="68">
        <f t="shared" si="20"/>
        <v>99.048437072635181</v>
      </c>
      <c r="AP49" s="4" t="s">
        <v>437</v>
      </c>
      <c r="AQ49" s="24" t="s">
        <v>32</v>
      </c>
      <c r="AR49" s="44">
        <f t="shared" si="9"/>
        <v>0.10793495178222656</v>
      </c>
      <c r="AS49" s="44">
        <f t="shared" si="10"/>
        <v>-0.50173759460449219</v>
      </c>
      <c r="AT49" s="44">
        <f t="shared" si="11"/>
        <v>0.60774517059326172</v>
      </c>
      <c r="AU49" s="44">
        <f t="shared" si="12"/>
        <v>-0.84669685363769531</v>
      </c>
      <c r="AV49" s="44">
        <f t="shared" si="13"/>
        <v>9.3913726806640625</v>
      </c>
      <c r="AW49" s="44">
        <f t="shared" si="14"/>
        <v>7.7406282424926758</v>
      </c>
      <c r="AX49" s="44">
        <f t="shared" si="15"/>
        <v>5.1409521102905273</v>
      </c>
      <c r="AY49" s="44">
        <f t="shared" si="16"/>
        <v>4.6600971221923828</v>
      </c>
      <c r="AZ49" s="44">
        <f t="shared" si="17"/>
        <v>7.8706188201904297</v>
      </c>
      <c r="BA49" s="44"/>
      <c r="BB49" s="4" t="s">
        <v>437</v>
      </c>
      <c r="BC49" s="24" t="s">
        <v>32</v>
      </c>
      <c r="BD49" s="44" t="e">
        <f>AR49*#REF!</f>
        <v>#REF!</v>
      </c>
      <c r="BE49" s="44" t="e">
        <f>AS49*#REF!</f>
        <v>#REF!</v>
      </c>
      <c r="BF49" s="44" t="e">
        <f>AT49*#REF!</f>
        <v>#REF!</v>
      </c>
      <c r="BG49" s="44" t="e">
        <f>AU49*#REF!</f>
        <v>#REF!</v>
      </c>
      <c r="BH49" s="44" t="e">
        <f>AV49*#REF!</f>
        <v>#REF!</v>
      </c>
      <c r="BI49" s="44" t="e">
        <f>AW49*#REF!</f>
        <v>#REF!</v>
      </c>
      <c r="BJ49" s="44" t="e">
        <f>AX49*#REF!</f>
        <v>#REF!</v>
      </c>
      <c r="BK49" s="44" t="e">
        <f>AY49*#REF!</f>
        <v>#REF!</v>
      </c>
      <c r="BL49" s="44" t="e">
        <f>AZ49*#REF!</f>
        <v>#REF!</v>
      </c>
      <c r="BM49" s="44" t="e">
        <f t="shared" si="18"/>
        <v>#REF!</v>
      </c>
      <c r="BN49" s="83" t="e">
        <f t="shared" si="19"/>
        <v>#REF!</v>
      </c>
      <c r="BP49" s="87">
        <v>99.048437072635181</v>
      </c>
      <c r="BQ49" s="87">
        <v>0.96268030925850645</v>
      </c>
    </row>
    <row r="50" spans="1:69" s="25" customFormat="1" ht="18">
      <c r="A50" s="3" t="s">
        <v>276</v>
      </c>
      <c r="B50" s="3">
        <v>24</v>
      </c>
      <c r="C50" s="21">
        <v>24</v>
      </c>
      <c r="D50" s="26" t="s">
        <v>141</v>
      </c>
      <c r="E50" s="23" t="s">
        <v>313</v>
      </c>
      <c r="F50" s="3"/>
      <c r="G50" s="3"/>
      <c r="H50" s="4" t="s">
        <v>465</v>
      </c>
      <c r="I50" s="27" t="s">
        <v>32</v>
      </c>
      <c r="J50" s="24">
        <v>82</v>
      </c>
      <c r="K50" s="24" t="s">
        <v>118</v>
      </c>
      <c r="L50" s="35">
        <v>20201028</v>
      </c>
      <c r="M50" s="3"/>
      <c r="N50" s="3"/>
      <c r="O50" s="3">
        <v>25.19</v>
      </c>
      <c r="P50" s="3">
        <v>1.29</v>
      </c>
      <c r="Q50" s="3">
        <v>0.43</v>
      </c>
      <c r="R50" s="3">
        <v>30</v>
      </c>
      <c r="S50" s="3">
        <v>755.6</v>
      </c>
      <c r="T50" s="39">
        <v>27.371695518493652</v>
      </c>
      <c r="U50" s="39">
        <v>26.418791770935059</v>
      </c>
      <c r="V50" s="39">
        <v>26.415508270263672</v>
      </c>
      <c r="W50" s="39">
        <v>26.383939743041992</v>
      </c>
      <c r="X50" s="39">
        <v>25.754688262939453</v>
      </c>
      <c r="Y50" s="39">
        <v>25.412293434143066</v>
      </c>
      <c r="Z50" s="39">
        <v>24.483501434326172</v>
      </c>
      <c r="AA50" s="39">
        <v>25.85853099822998</v>
      </c>
      <c r="AB50" s="39">
        <v>36.732698440551758</v>
      </c>
      <c r="AC50" s="39">
        <v>28.265158653259277</v>
      </c>
      <c r="AD50" s="39">
        <v>35.258420944213867</v>
      </c>
      <c r="AE50" s="39">
        <v>26.532026290893555</v>
      </c>
      <c r="AF50" s="39">
        <v>31.255364418029785</v>
      </c>
      <c r="AG50" s="39">
        <v>26.372133255004883</v>
      </c>
      <c r="AH50" s="39">
        <v>32.115718841552734</v>
      </c>
      <c r="AI50" s="39">
        <v>26.540383338928223</v>
      </c>
      <c r="AJ50" s="39">
        <v>34.559726715087891</v>
      </c>
      <c r="AK50" s="39">
        <v>26.40933895111084</v>
      </c>
      <c r="AL50" s="27" t="s">
        <v>32</v>
      </c>
      <c r="AM50" s="68">
        <f t="shared" si="20"/>
        <v>99.737616397731387</v>
      </c>
      <c r="AP50" s="4" t="s">
        <v>465</v>
      </c>
      <c r="AQ50" s="27" t="s">
        <v>32</v>
      </c>
      <c r="AR50" s="44">
        <f t="shared" si="9"/>
        <v>0.95290374755859375</v>
      </c>
      <c r="AS50" s="44">
        <f t="shared" si="10"/>
        <v>3.1568527221679688E-2</v>
      </c>
      <c r="AT50" s="44">
        <f t="shared" si="11"/>
        <v>0.34239482879638672</v>
      </c>
      <c r="AU50" s="44">
        <f t="shared" si="12"/>
        <v>-1.3750295639038086</v>
      </c>
      <c r="AV50" s="44">
        <f t="shared" si="13"/>
        <v>8.4675397872924805</v>
      </c>
      <c r="AW50" s="44">
        <f t="shared" si="14"/>
        <v>8.7263946533203125</v>
      </c>
      <c r="AX50" s="44">
        <f t="shared" si="15"/>
        <v>4.8832311630249023</v>
      </c>
      <c r="AY50" s="44">
        <f t="shared" si="16"/>
        <v>5.5753355026245117</v>
      </c>
      <c r="AZ50" s="44">
        <f t="shared" si="17"/>
        <v>8.1503877639770508</v>
      </c>
      <c r="BA50" s="44"/>
      <c r="BB50" s="4" t="s">
        <v>465</v>
      </c>
      <c r="BC50" s="27" t="s">
        <v>32</v>
      </c>
      <c r="BD50" s="44" t="e">
        <f>AR50*#REF!</f>
        <v>#REF!</v>
      </c>
      <c r="BE50" s="44" t="e">
        <f>AS50*#REF!</f>
        <v>#REF!</v>
      </c>
      <c r="BF50" s="44" t="e">
        <f>AT50*#REF!</f>
        <v>#REF!</v>
      </c>
      <c r="BG50" s="44" t="e">
        <f>AU50*#REF!</f>
        <v>#REF!</v>
      </c>
      <c r="BH50" s="44" t="e">
        <f>AV50*#REF!</f>
        <v>#REF!</v>
      </c>
      <c r="BI50" s="44" t="e">
        <f>AW50*#REF!</f>
        <v>#REF!</v>
      </c>
      <c r="BJ50" s="44" t="e">
        <f>AX50*#REF!</f>
        <v>#REF!</v>
      </c>
      <c r="BK50" s="44" t="e">
        <f>AY50*#REF!</f>
        <v>#REF!</v>
      </c>
      <c r="BL50" s="44" t="e">
        <f>AZ50*#REF!</f>
        <v>#REF!</v>
      </c>
      <c r="BM50" s="44" t="e">
        <f t="shared" si="18"/>
        <v>#REF!</v>
      </c>
      <c r="BN50" s="83" t="e">
        <f t="shared" si="19"/>
        <v>#REF!</v>
      </c>
      <c r="BP50" s="87">
        <v>99.737616397731387</v>
      </c>
      <c r="BQ50" s="87">
        <v>0.97088286314743755</v>
      </c>
    </row>
    <row r="51" spans="1:69" s="25" customFormat="1" ht="18">
      <c r="A51" s="3" t="s">
        <v>276</v>
      </c>
      <c r="B51" s="3">
        <v>25</v>
      </c>
      <c r="C51" s="21">
        <v>25</v>
      </c>
      <c r="D51" s="26" t="s">
        <v>142</v>
      </c>
      <c r="E51" s="23" t="s">
        <v>314</v>
      </c>
      <c r="F51" s="3"/>
      <c r="G51" s="3"/>
      <c r="H51" s="4" t="s">
        <v>466</v>
      </c>
      <c r="I51" s="24" t="s">
        <v>32</v>
      </c>
      <c r="J51" s="24">
        <v>83</v>
      </c>
      <c r="K51" s="24" t="s">
        <v>118</v>
      </c>
      <c r="L51" s="35">
        <v>20200909</v>
      </c>
      <c r="M51" s="3"/>
      <c r="N51" s="3"/>
      <c r="O51" s="3">
        <v>52.73</v>
      </c>
      <c r="P51" s="3">
        <v>1.37</v>
      </c>
      <c r="Q51" s="3">
        <v>0.47</v>
      </c>
      <c r="R51" s="3">
        <v>30</v>
      </c>
      <c r="S51" s="3">
        <v>1582</v>
      </c>
      <c r="T51" s="39">
        <v>26.12809944152832</v>
      </c>
      <c r="U51" s="39">
        <v>26.962908744812012</v>
      </c>
      <c r="V51" s="39">
        <v>25.418143272399902</v>
      </c>
      <c r="W51" s="39">
        <v>26.962986946105957</v>
      </c>
      <c r="X51" s="39">
        <v>25.294829368591309</v>
      </c>
      <c r="Y51" s="39">
        <v>26.067065238952637</v>
      </c>
      <c r="Z51" s="39">
        <v>24.692415237426758</v>
      </c>
      <c r="AA51" s="39">
        <v>26.448375701904297</v>
      </c>
      <c r="AB51" s="39">
        <v>35.625682830810547</v>
      </c>
      <c r="AC51" s="39">
        <v>29.021658897399902</v>
      </c>
      <c r="AD51" s="39">
        <v>32.889713287353516</v>
      </c>
      <c r="AE51" s="39">
        <v>27.12675666809082</v>
      </c>
      <c r="AF51" s="39">
        <v>30.720907211303711</v>
      </c>
      <c r="AG51" s="39">
        <v>27.046176910400391</v>
      </c>
      <c r="AH51" s="39">
        <v>29.905985832214355</v>
      </c>
      <c r="AI51" s="39">
        <v>26.903800010681152</v>
      </c>
      <c r="AJ51" s="39">
        <v>32.941898345947266</v>
      </c>
      <c r="AK51" s="39">
        <v>27.23673152923584</v>
      </c>
      <c r="AL51" s="24" t="s">
        <v>32</v>
      </c>
      <c r="AM51" s="68">
        <f t="shared" si="20"/>
        <v>99.954147864559715</v>
      </c>
      <c r="AP51" s="4" t="s">
        <v>466</v>
      </c>
      <c r="AQ51" s="24" t="s">
        <v>32</v>
      </c>
      <c r="AR51" s="44">
        <f t="shared" si="9"/>
        <v>-0.83480930328369141</v>
      </c>
      <c r="AS51" s="44">
        <f t="shared" si="10"/>
        <v>-1.5448436737060547</v>
      </c>
      <c r="AT51" s="44">
        <f t="shared" si="11"/>
        <v>-0.77223587036132812</v>
      </c>
      <c r="AU51" s="44">
        <f t="shared" si="12"/>
        <v>-1.7559604644775391</v>
      </c>
      <c r="AV51" s="44">
        <f t="shared" si="13"/>
        <v>6.6040239334106445</v>
      </c>
      <c r="AW51" s="44">
        <f t="shared" si="14"/>
        <v>5.7629566192626953</v>
      </c>
      <c r="AX51" s="44">
        <f t="shared" si="15"/>
        <v>3.6747303009033203</v>
      </c>
      <c r="AY51" s="44">
        <f t="shared" si="16"/>
        <v>3.0021858215332031</v>
      </c>
      <c r="AZ51" s="44">
        <f t="shared" si="17"/>
        <v>5.7051668167114258</v>
      </c>
      <c r="BA51" s="44"/>
      <c r="BB51" s="4" t="s">
        <v>466</v>
      </c>
      <c r="BC51" s="24" t="s">
        <v>32</v>
      </c>
      <c r="BD51" s="44" t="e">
        <f>AR51*#REF!</f>
        <v>#REF!</v>
      </c>
      <c r="BE51" s="44" t="e">
        <f>AS51*#REF!</f>
        <v>#REF!</v>
      </c>
      <c r="BF51" s="44" t="e">
        <f>AT51*#REF!</f>
        <v>#REF!</v>
      </c>
      <c r="BG51" s="44" t="e">
        <f>AU51*#REF!</f>
        <v>#REF!</v>
      </c>
      <c r="BH51" s="44" t="e">
        <f>AV51*#REF!</f>
        <v>#REF!</v>
      </c>
      <c r="BI51" s="44" t="e">
        <f>AW51*#REF!</f>
        <v>#REF!</v>
      </c>
      <c r="BJ51" s="44" t="e">
        <f>AX51*#REF!</f>
        <v>#REF!</v>
      </c>
      <c r="BK51" s="44" t="e">
        <f>AY51*#REF!</f>
        <v>#REF!</v>
      </c>
      <c r="BL51" s="44" t="e">
        <f>AZ51*#REF!</f>
        <v>#REF!</v>
      </c>
      <c r="BM51" s="44" t="e">
        <f t="shared" si="18"/>
        <v>#REF!</v>
      </c>
      <c r="BN51" s="83" t="e">
        <f t="shared" si="19"/>
        <v>#REF!</v>
      </c>
      <c r="BP51" s="87">
        <v>99.954147864559715</v>
      </c>
      <c r="BQ51" s="87">
        <v>0.99761288374643942</v>
      </c>
    </row>
    <row r="52" spans="1:69" s="25" customFormat="1" ht="18">
      <c r="A52" s="3" t="s">
        <v>276</v>
      </c>
      <c r="B52" s="3">
        <v>26</v>
      </c>
      <c r="C52" s="21">
        <v>26</v>
      </c>
      <c r="D52" s="26" t="s">
        <v>143</v>
      </c>
      <c r="E52" s="23" t="s">
        <v>315</v>
      </c>
      <c r="F52" s="3"/>
      <c r="G52" s="3"/>
      <c r="H52" s="4" t="s">
        <v>467</v>
      </c>
      <c r="I52" s="24" t="s">
        <v>32</v>
      </c>
      <c r="J52" s="24">
        <v>83</v>
      </c>
      <c r="K52" s="24" t="s">
        <v>118</v>
      </c>
      <c r="L52" s="35">
        <v>20210111</v>
      </c>
      <c r="M52" s="3"/>
      <c r="N52" s="3"/>
      <c r="O52" s="3">
        <v>54.93</v>
      </c>
      <c r="P52" s="3">
        <v>1.35</v>
      </c>
      <c r="Q52" s="3">
        <v>0.47</v>
      </c>
      <c r="R52" s="3">
        <v>30</v>
      </c>
      <c r="S52" s="3">
        <v>1647.8</v>
      </c>
      <c r="T52" s="39">
        <v>27.138741493225098</v>
      </c>
      <c r="U52" s="39">
        <v>26.305617332458496</v>
      </c>
      <c r="V52" s="39">
        <v>25.722087860107422</v>
      </c>
      <c r="W52" s="39">
        <v>26.1602783203125</v>
      </c>
      <c r="X52" s="39">
        <v>23.376090049743652</v>
      </c>
      <c r="Y52" s="39">
        <v>25.096908569335938</v>
      </c>
      <c r="Z52" s="39">
        <v>24.69061279296875</v>
      </c>
      <c r="AA52" s="39">
        <v>25.636412620544434</v>
      </c>
      <c r="AB52" s="39">
        <v>38.343072891235352</v>
      </c>
      <c r="AC52" s="39">
        <v>28.195376396179199</v>
      </c>
      <c r="AD52" s="39">
        <v>35.834821701049805</v>
      </c>
      <c r="AE52" s="39">
        <v>26.278775215148926</v>
      </c>
      <c r="AF52" s="39">
        <v>30.161924362182617</v>
      </c>
      <c r="AG52" s="39">
        <v>26.262474060058594</v>
      </c>
      <c r="AH52" s="39">
        <v>32.218549728393555</v>
      </c>
      <c r="AI52" s="39">
        <v>26.370641708374023</v>
      </c>
      <c r="AJ52" s="39">
        <v>34.365879058837891</v>
      </c>
      <c r="AK52" s="39">
        <v>26.33084774017334</v>
      </c>
      <c r="AL52" s="24" t="s">
        <v>32</v>
      </c>
      <c r="AM52" s="68">
        <f t="shared" si="20"/>
        <v>99.91281531326581</v>
      </c>
      <c r="AP52" s="4" t="s">
        <v>467</v>
      </c>
      <c r="AQ52" s="24" t="s">
        <v>32</v>
      </c>
      <c r="AR52" s="44">
        <f t="shared" si="9"/>
        <v>0.83312416076660156</v>
      </c>
      <c r="AS52" s="44">
        <f t="shared" si="10"/>
        <v>-0.43819046020507812</v>
      </c>
      <c r="AT52" s="44">
        <f t="shared" si="11"/>
        <v>-1.7208185195922852</v>
      </c>
      <c r="AU52" s="44">
        <f t="shared" si="12"/>
        <v>-0.94579982757568359</v>
      </c>
      <c r="AV52" s="44">
        <f t="shared" si="13"/>
        <v>10.147696495056152</v>
      </c>
      <c r="AW52" s="44">
        <f t="shared" si="14"/>
        <v>9.5560464859008789</v>
      </c>
      <c r="AX52" s="44">
        <f t="shared" si="15"/>
        <v>3.8994503021240234</v>
      </c>
      <c r="AY52" s="44">
        <f t="shared" si="16"/>
        <v>5.8479080200195312</v>
      </c>
      <c r="AZ52" s="44">
        <f t="shared" si="17"/>
        <v>8.0350313186645508</v>
      </c>
      <c r="BA52" s="44"/>
      <c r="BB52" s="4" t="s">
        <v>467</v>
      </c>
      <c r="BC52" s="24" t="s">
        <v>32</v>
      </c>
      <c r="BD52" s="44" t="e">
        <f>AR52*#REF!</f>
        <v>#REF!</v>
      </c>
      <c r="BE52" s="44" t="e">
        <f>AS52*#REF!</f>
        <v>#REF!</v>
      </c>
      <c r="BF52" s="44" t="e">
        <f>AT52*#REF!</f>
        <v>#REF!</v>
      </c>
      <c r="BG52" s="44" t="e">
        <f>AU52*#REF!</f>
        <v>#REF!</v>
      </c>
      <c r="BH52" s="44" t="e">
        <f>AV52*#REF!</f>
        <v>#REF!</v>
      </c>
      <c r="BI52" s="44" t="e">
        <f>AW52*#REF!</f>
        <v>#REF!</v>
      </c>
      <c r="BJ52" s="44" t="e">
        <f>AX52*#REF!</f>
        <v>#REF!</v>
      </c>
      <c r="BK52" s="44" t="e">
        <f>AY52*#REF!</f>
        <v>#REF!</v>
      </c>
      <c r="BL52" s="44" t="e">
        <f>AZ52*#REF!</f>
        <v>#REF!</v>
      </c>
      <c r="BM52" s="44" t="e">
        <f t="shared" si="18"/>
        <v>#REF!</v>
      </c>
      <c r="BN52" s="83" t="e">
        <f t="shared" si="19"/>
        <v>#REF!</v>
      </c>
      <c r="BP52" s="87">
        <v>99.91281531326581</v>
      </c>
      <c r="BQ52" s="87">
        <v>0.98615170483283421</v>
      </c>
    </row>
    <row r="53" spans="1:69" s="25" customFormat="1" ht="18">
      <c r="A53" s="3" t="s">
        <v>276</v>
      </c>
      <c r="B53" s="3">
        <v>27</v>
      </c>
      <c r="C53" s="21">
        <v>27</v>
      </c>
      <c r="D53" s="26" t="s">
        <v>144</v>
      </c>
      <c r="E53" s="23" t="s">
        <v>316</v>
      </c>
      <c r="F53" s="3"/>
      <c r="G53" s="3"/>
      <c r="H53" s="4" t="s">
        <v>468</v>
      </c>
      <c r="I53" s="24" t="s">
        <v>32</v>
      </c>
      <c r="J53" s="24">
        <v>84</v>
      </c>
      <c r="K53" s="24" t="s">
        <v>118</v>
      </c>
      <c r="L53" s="35">
        <v>20191024</v>
      </c>
      <c r="M53" s="3"/>
      <c r="N53" s="3"/>
      <c r="O53" s="3">
        <v>27.98</v>
      </c>
      <c r="P53" s="3">
        <v>1.3</v>
      </c>
      <c r="Q53" s="3">
        <v>0.43</v>
      </c>
      <c r="R53" s="3">
        <v>30</v>
      </c>
      <c r="S53" s="3">
        <v>839.5</v>
      </c>
      <c r="T53" s="39">
        <v>29.376679420471191</v>
      </c>
      <c r="U53" s="39">
        <v>26.319409370422363</v>
      </c>
      <c r="V53" s="39">
        <v>26.756777763366699</v>
      </c>
      <c r="W53" s="39">
        <v>26.282727241516113</v>
      </c>
      <c r="X53" s="39">
        <v>25.129605293273926</v>
      </c>
      <c r="Y53" s="39">
        <v>25.291618347167969</v>
      </c>
      <c r="Z53" s="39">
        <v>25.794859886169434</v>
      </c>
      <c r="AA53" s="39">
        <v>25.909629821777344</v>
      </c>
      <c r="AB53" s="39">
        <v>40</v>
      </c>
      <c r="AC53" s="39">
        <v>28.220803260803223</v>
      </c>
      <c r="AD53" s="39">
        <v>39.1671142578125</v>
      </c>
      <c r="AE53" s="39">
        <v>26.587909698486328</v>
      </c>
      <c r="AF53" s="39">
        <v>32.23621940612793</v>
      </c>
      <c r="AG53" s="39">
        <v>26.374734878540039</v>
      </c>
      <c r="AH53" s="39">
        <v>34.476358413696289</v>
      </c>
      <c r="AI53" s="39">
        <v>26.581405639648438</v>
      </c>
      <c r="AJ53" s="39">
        <v>36.491004943847656</v>
      </c>
      <c r="AK53" s="39">
        <v>26.402435302734375</v>
      </c>
      <c r="AL53" s="24" t="s">
        <v>32</v>
      </c>
      <c r="AM53" s="68">
        <f t="shared" si="20"/>
        <v>98.588193161188926</v>
      </c>
      <c r="AP53" s="4" t="s">
        <v>468</v>
      </c>
      <c r="AQ53" s="24" t="s">
        <v>32</v>
      </c>
      <c r="AR53" s="44">
        <f t="shared" si="9"/>
        <v>3.0572700500488281</v>
      </c>
      <c r="AS53" s="44">
        <f t="shared" si="10"/>
        <v>0.47405052185058594</v>
      </c>
      <c r="AT53" s="44">
        <f t="shared" si="11"/>
        <v>-0.16201305389404297</v>
      </c>
      <c r="AU53" s="44">
        <f t="shared" si="12"/>
        <v>-0.11476993560791016</v>
      </c>
      <c r="AV53" s="44">
        <f t="shared" si="13"/>
        <v>11.779196739196777</v>
      </c>
      <c r="AW53" s="44">
        <f t="shared" si="14"/>
        <v>12.579204559326172</v>
      </c>
      <c r="AX53" s="44">
        <f t="shared" si="15"/>
        <v>5.8614845275878906</v>
      </c>
      <c r="AY53" s="44">
        <f t="shared" si="16"/>
        <v>7.8949527740478516</v>
      </c>
      <c r="AZ53" s="44">
        <f t="shared" si="17"/>
        <v>10.088569641113281</v>
      </c>
      <c r="BA53" s="44"/>
      <c r="BB53" s="4" t="s">
        <v>468</v>
      </c>
      <c r="BC53" s="24" t="s">
        <v>32</v>
      </c>
      <c r="BD53" s="44" t="e">
        <f>AR53*#REF!</f>
        <v>#REF!</v>
      </c>
      <c r="BE53" s="44" t="e">
        <f>AS53*#REF!</f>
        <v>#REF!</v>
      </c>
      <c r="BF53" s="44" t="e">
        <f>AT53*#REF!</f>
        <v>#REF!</v>
      </c>
      <c r="BG53" s="44" t="e">
        <f>AU53*#REF!</f>
        <v>#REF!</v>
      </c>
      <c r="BH53" s="44" t="e">
        <f>AV53*#REF!</f>
        <v>#REF!</v>
      </c>
      <c r="BI53" s="44" t="e">
        <f>AW53*#REF!</f>
        <v>#REF!</v>
      </c>
      <c r="BJ53" s="44" t="e">
        <f>AX53*#REF!</f>
        <v>#REF!</v>
      </c>
      <c r="BK53" s="44" t="e">
        <f>AY53*#REF!</f>
        <v>#REF!</v>
      </c>
      <c r="BL53" s="44" t="e">
        <f>AZ53*#REF!</f>
        <v>#REF!</v>
      </c>
      <c r="BM53" s="44" t="e">
        <f t="shared" si="18"/>
        <v>#REF!</v>
      </c>
      <c r="BN53" s="83" t="e">
        <f t="shared" si="19"/>
        <v>#REF!</v>
      </c>
      <c r="BP53" s="87">
        <v>98.588193161188926</v>
      </c>
      <c r="BQ53" s="87">
        <v>0.80550465857102371</v>
      </c>
    </row>
    <row r="54" spans="1:69" s="25" customFormat="1" ht="18">
      <c r="A54" s="3" t="s">
        <v>276</v>
      </c>
      <c r="B54" s="3">
        <v>28</v>
      </c>
      <c r="C54" s="21">
        <v>28</v>
      </c>
      <c r="D54" s="26" t="s">
        <v>145</v>
      </c>
      <c r="E54" s="23" t="s">
        <v>317</v>
      </c>
      <c r="F54" s="3"/>
      <c r="G54" s="3"/>
      <c r="H54" s="4" t="s">
        <v>469</v>
      </c>
      <c r="I54" s="24" t="s">
        <v>32</v>
      </c>
      <c r="J54" s="24">
        <v>84</v>
      </c>
      <c r="K54" s="24" t="s">
        <v>118</v>
      </c>
      <c r="L54" s="35">
        <v>20201104</v>
      </c>
      <c r="M54" s="3"/>
      <c r="N54" s="3"/>
      <c r="O54" s="3">
        <v>46.69</v>
      </c>
      <c r="P54" s="3">
        <v>1.35</v>
      </c>
      <c r="Q54" s="3">
        <v>0.47</v>
      </c>
      <c r="R54" s="3">
        <v>30</v>
      </c>
      <c r="S54" s="3">
        <v>1400.7</v>
      </c>
      <c r="T54" s="39">
        <v>25.949223518371582</v>
      </c>
      <c r="U54" s="39">
        <v>25.58079719543457</v>
      </c>
      <c r="V54" s="39">
        <v>24.747450828552246</v>
      </c>
      <c r="W54" s="39">
        <v>25.505184173583984</v>
      </c>
      <c r="X54" s="39">
        <v>23.36838436126709</v>
      </c>
      <c r="Y54" s="39">
        <v>24.468635559082031</v>
      </c>
      <c r="Z54" s="39">
        <v>26.312516212463379</v>
      </c>
      <c r="AA54" s="39">
        <v>25.363142967224121</v>
      </c>
      <c r="AB54" s="39">
        <v>37.682859420776367</v>
      </c>
      <c r="AC54" s="39">
        <v>27.449424743652344</v>
      </c>
      <c r="AD54" s="39">
        <v>35.397262573242188</v>
      </c>
      <c r="AE54" s="39">
        <v>25.725214004516602</v>
      </c>
      <c r="AF54" s="39">
        <v>32.031824111938477</v>
      </c>
      <c r="AG54" s="39">
        <v>25.744060516357422</v>
      </c>
      <c r="AH54" s="39">
        <v>31.154293060302734</v>
      </c>
      <c r="AI54" s="39">
        <v>25.707457542419434</v>
      </c>
      <c r="AJ54" s="39">
        <v>33.197694778442383</v>
      </c>
      <c r="AK54" s="39">
        <v>25.573418617248535</v>
      </c>
      <c r="AL54" s="24" t="s">
        <v>32</v>
      </c>
      <c r="AM54" s="68">
        <f t="shared" si="20"/>
        <v>91.661070974489917</v>
      </c>
      <c r="AP54" s="4" t="s">
        <v>469</v>
      </c>
      <c r="AQ54" s="24" t="s">
        <v>32</v>
      </c>
      <c r="AR54" s="44">
        <f t="shared" si="9"/>
        <v>0.36842632293701172</v>
      </c>
      <c r="AS54" s="44">
        <f t="shared" si="10"/>
        <v>-0.75773334503173828</v>
      </c>
      <c r="AT54" s="44">
        <f t="shared" si="11"/>
        <v>-1.1002511978149414</v>
      </c>
      <c r="AU54" s="44">
        <f t="shared" si="12"/>
        <v>0.94937324523925781</v>
      </c>
      <c r="AV54" s="44">
        <f t="shared" si="13"/>
        <v>10.233434677124023</v>
      </c>
      <c r="AW54" s="44">
        <f t="shared" si="14"/>
        <v>9.6720485687255859</v>
      </c>
      <c r="AX54" s="44">
        <f t="shared" si="15"/>
        <v>6.2877635955810547</v>
      </c>
      <c r="AY54" s="44">
        <f t="shared" si="16"/>
        <v>5.4468355178833008</v>
      </c>
      <c r="AZ54" s="44">
        <f t="shared" si="17"/>
        <v>7.6242761611938477</v>
      </c>
      <c r="BA54" s="44"/>
      <c r="BB54" s="4" t="s">
        <v>469</v>
      </c>
      <c r="BC54" s="24" t="s">
        <v>32</v>
      </c>
      <c r="BD54" s="44" t="e">
        <f>AR54*#REF!</f>
        <v>#REF!</v>
      </c>
      <c r="BE54" s="44" t="e">
        <f>AS54*#REF!</f>
        <v>#REF!</v>
      </c>
      <c r="BF54" s="44" t="e">
        <f>AT54*#REF!</f>
        <v>#REF!</v>
      </c>
      <c r="BG54" s="44" t="e">
        <f>AU54*#REF!</f>
        <v>#REF!</v>
      </c>
      <c r="BH54" s="44" t="e">
        <f>AV54*#REF!</f>
        <v>#REF!</v>
      </c>
      <c r="BI54" s="44" t="e">
        <f>AW54*#REF!</f>
        <v>#REF!</v>
      </c>
      <c r="BJ54" s="44" t="e">
        <f>AX54*#REF!</f>
        <v>#REF!</v>
      </c>
      <c r="BK54" s="44" t="e">
        <f>AY54*#REF!</f>
        <v>#REF!</v>
      </c>
      <c r="BL54" s="44" t="e">
        <f>AZ54*#REF!</f>
        <v>#REF!</v>
      </c>
      <c r="BM54" s="44" t="e">
        <f t="shared" si="18"/>
        <v>#REF!</v>
      </c>
      <c r="BN54" s="83" t="e">
        <f t="shared" si="19"/>
        <v>#REF!</v>
      </c>
      <c r="BP54" s="87">
        <v>91.661070974489917</v>
      </c>
      <c r="BQ54" s="87">
        <v>0.94017949491263086</v>
      </c>
    </row>
    <row r="55" spans="1:69" s="25" customFormat="1" ht="18">
      <c r="A55" s="3" t="s">
        <v>276</v>
      </c>
      <c r="B55" s="3">
        <v>29</v>
      </c>
      <c r="C55" s="21">
        <v>29</v>
      </c>
      <c r="D55" s="26" t="s">
        <v>146</v>
      </c>
      <c r="E55" s="23" t="s">
        <v>318</v>
      </c>
      <c r="F55" s="3"/>
      <c r="G55" s="3"/>
      <c r="H55" s="4" t="s">
        <v>470</v>
      </c>
      <c r="I55" s="24" t="s">
        <v>32</v>
      </c>
      <c r="J55" s="24">
        <v>85</v>
      </c>
      <c r="K55" s="24" t="s">
        <v>118</v>
      </c>
      <c r="L55" s="35">
        <v>20201130</v>
      </c>
      <c r="M55" s="3"/>
      <c r="N55" s="3"/>
      <c r="O55" s="3">
        <v>40.64</v>
      </c>
      <c r="P55" s="3">
        <v>1.33</v>
      </c>
      <c r="Q55" s="3">
        <v>0.46</v>
      </c>
      <c r="R55" s="3">
        <v>30</v>
      </c>
      <c r="S55" s="3">
        <v>1219.2</v>
      </c>
      <c r="T55" s="39">
        <v>27.796683311462402</v>
      </c>
      <c r="U55" s="39">
        <v>27.48058032989502</v>
      </c>
      <c r="V55" s="39">
        <v>26.505664825439453</v>
      </c>
      <c r="W55" s="39">
        <v>27.432094573974609</v>
      </c>
      <c r="X55" s="39">
        <v>26.604137420654297</v>
      </c>
      <c r="Y55" s="39">
        <v>26.438481330871582</v>
      </c>
      <c r="Z55" s="39">
        <v>25.711733818054199</v>
      </c>
      <c r="AA55" s="39">
        <v>26.947299957275391</v>
      </c>
      <c r="AB55" s="39">
        <v>39.254856109619141</v>
      </c>
      <c r="AC55" s="39">
        <v>29.347429275512695</v>
      </c>
      <c r="AD55" s="39">
        <v>38.378025054931641</v>
      </c>
      <c r="AE55" s="39">
        <v>27.616907119750977</v>
      </c>
      <c r="AF55" s="39">
        <v>32.433622360229492</v>
      </c>
      <c r="AG55" s="39">
        <v>27.526005744934082</v>
      </c>
      <c r="AH55" s="39">
        <v>32.875356674194336</v>
      </c>
      <c r="AI55" s="39">
        <v>27.619265556335449</v>
      </c>
      <c r="AJ55" s="39">
        <v>35.132743835449219</v>
      </c>
      <c r="AK55" s="39">
        <v>27.584223747253418</v>
      </c>
      <c r="AL55" s="24" t="s">
        <v>32</v>
      </c>
      <c r="AM55" s="68">
        <f t="shared" si="20"/>
        <v>99.3217880064403</v>
      </c>
      <c r="AP55" s="4" t="s">
        <v>470</v>
      </c>
      <c r="AQ55" s="24" t="s">
        <v>32</v>
      </c>
      <c r="AR55" s="44">
        <f t="shared" si="9"/>
        <v>0.31610298156738281</v>
      </c>
      <c r="AS55" s="44">
        <f t="shared" si="10"/>
        <v>-0.92642974853515625</v>
      </c>
      <c r="AT55" s="44">
        <f t="shared" si="11"/>
        <v>0.16565608978271484</v>
      </c>
      <c r="AU55" s="44">
        <f t="shared" si="12"/>
        <v>-1.2355661392211914</v>
      </c>
      <c r="AV55" s="44">
        <f t="shared" si="13"/>
        <v>9.9074268341064453</v>
      </c>
      <c r="AW55" s="44">
        <f t="shared" si="14"/>
        <v>10.761117935180664</v>
      </c>
      <c r="AX55" s="44">
        <f t="shared" si="15"/>
        <v>4.9076166152954102</v>
      </c>
      <c r="AY55" s="44">
        <f t="shared" si="16"/>
        <v>5.2560911178588867</v>
      </c>
      <c r="AZ55" s="44">
        <f t="shared" si="17"/>
        <v>7.5485200881958008</v>
      </c>
      <c r="BA55" s="44"/>
      <c r="BB55" s="4" t="s">
        <v>470</v>
      </c>
      <c r="BC55" s="24" t="s">
        <v>32</v>
      </c>
      <c r="BD55" s="44" t="e">
        <f>AR55*#REF!</f>
        <v>#REF!</v>
      </c>
      <c r="BE55" s="44" t="e">
        <f>AS55*#REF!</f>
        <v>#REF!</v>
      </c>
      <c r="BF55" s="44" t="e">
        <f>AT55*#REF!</f>
        <v>#REF!</v>
      </c>
      <c r="BG55" s="44" t="e">
        <f>AU55*#REF!</f>
        <v>#REF!</v>
      </c>
      <c r="BH55" s="44" t="e">
        <f>AV55*#REF!</f>
        <v>#REF!</v>
      </c>
      <c r="BI55" s="44" t="e">
        <f>AW55*#REF!</f>
        <v>#REF!</v>
      </c>
      <c r="BJ55" s="44" t="e">
        <f>AX55*#REF!</f>
        <v>#REF!</v>
      </c>
      <c r="BK55" s="44" t="e">
        <f>AY55*#REF!</f>
        <v>#REF!</v>
      </c>
      <c r="BL55" s="44" t="e">
        <f>AZ55*#REF!</f>
        <v>#REF!</v>
      </c>
      <c r="BM55" s="44" t="e">
        <f t="shared" si="18"/>
        <v>#REF!</v>
      </c>
      <c r="BN55" s="83" t="e">
        <f t="shared" si="19"/>
        <v>#REF!</v>
      </c>
      <c r="BP55" s="87">
        <v>99.3217880064403</v>
      </c>
      <c r="BQ55" s="87">
        <v>0.94070453708861335</v>
      </c>
    </row>
    <row r="56" spans="1:69" s="25" customFormat="1" ht="18">
      <c r="A56" s="3" t="s">
        <v>276</v>
      </c>
      <c r="B56" s="3">
        <v>30</v>
      </c>
      <c r="C56" s="21">
        <v>30</v>
      </c>
      <c r="D56" s="26" t="s">
        <v>147</v>
      </c>
      <c r="E56" s="23" t="s">
        <v>319</v>
      </c>
      <c r="F56" s="3"/>
      <c r="G56" s="3"/>
      <c r="H56" s="4" t="s">
        <v>471</v>
      </c>
      <c r="I56" s="24" t="s">
        <v>32</v>
      </c>
      <c r="J56" s="24">
        <v>85</v>
      </c>
      <c r="K56" s="24" t="s">
        <v>118</v>
      </c>
      <c r="L56" s="35">
        <v>20190918</v>
      </c>
      <c r="M56" s="3"/>
      <c r="N56" s="3"/>
      <c r="O56" s="3">
        <v>36.93</v>
      </c>
      <c r="P56" s="3">
        <v>1.32</v>
      </c>
      <c r="Q56" s="3">
        <v>0.45</v>
      </c>
      <c r="R56" s="3">
        <v>30</v>
      </c>
      <c r="S56" s="3">
        <v>1107.8</v>
      </c>
      <c r="T56" s="39">
        <v>29.899239540100098</v>
      </c>
      <c r="U56" s="39">
        <v>26.782748222351074</v>
      </c>
      <c r="V56" s="39">
        <v>27.27164363861084</v>
      </c>
      <c r="W56" s="39">
        <v>26.70714282989502</v>
      </c>
      <c r="X56" s="39">
        <v>23.993029594421387</v>
      </c>
      <c r="Y56" s="39">
        <v>25.525618553161621</v>
      </c>
      <c r="Z56" s="39">
        <v>25.855335235595703</v>
      </c>
      <c r="AA56" s="39">
        <v>26.194774627685547</v>
      </c>
      <c r="AB56" s="39">
        <v>40</v>
      </c>
      <c r="AC56" s="39">
        <v>28.533699989318848</v>
      </c>
      <c r="AD56" s="39">
        <v>39.403221130371094</v>
      </c>
      <c r="AE56" s="39">
        <v>26.696857452392578</v>
      </c>
      <c r="AF56" s="39">
        <v>32.553316116333008</v>
      </c>
      <c r="AG56" s="39">
        <v>26.676873207092285</v>
      </c>
      <c r="AH56" s="39">
        <v>34.963918685913086</v>
      </c>
      <c r="AI56" s="39">
        <v>26.777939796447754</v>
      </c>
      <c r="AJ56" s="39">
        <v>36.979085922241211</v>
      </c>
      <c r="AK56" s="39">
        <v>26.869993209838867</v>
      </c>
      <c r="AL56" s="24" t="s">
        <v>32</v>
      </c>
      <c r="AM56" s="68">
        <f t="shared" si="20"/>
        <v>98.746798630076327</v>
      </c>
      <c r="AP56" s="4" t="s">
        <v>471</v>
      </c>
      <c r="AQ56" s="24" t="s">
        <v>32</v>
      </c>
      <c r="AR56" s="44">
        <f t="shared" si="9"/>
        <v>3.1164913177490234</v>
      </c>
      <c r="AS56" s="44">
        <f t="shared" si="10"/>
        <v>0.56450080871582031</v>
      </c>
      <c r="AT56" s="44">
        <f t="shared" si="11"/>
        <v>-1.5325889587402344</v>
      </c>
      <c r="AU56" s="44">
        <f t="shared" si="12"/>
        <v>-0.33943939208984375</v>
      </c>
      <c r="AV56" s="44">
        <f t="shared" si="13"/>
        <v>11.466300010681152</v>
      </c>
      <c r="AW56" s="44">
        <f t="shared" si="14"/>
        <v>12.706363677978516</v>
      </c>
      <c r="AX56" s="44">
        <f t="shared" si="15"/>
        <v>5.8764429092407227</v>
      </c>
      <c r="AY56" s="44">
        <f t="shared" si="16"/>
        <v>8.185978889465332</v>
      </c>
      <c r="AZ56" s="44">
        <f t="shared" si="17"/>
        <v>10.109092712402344</v>
      </c>
      <c r="BA56" s="44"/>
      <c r="BB56" s="4" t="s">
        <v>471</v>
      </c>
      <c r="BC56" s="24" t="s">
        <v>32</v>
      </c>
      <c r="BD56" s="44" t="e">
        <f>AR56*#REF!</f>
        <v>#REF!</v>
      </c>
      <c r="BE56" s="44" t="e">
        <f>AS56*#REF!</f>
        <v>#REF!</v>
      </c>
      <c r="BF56" s="44" t="e">
        <f>AT56*#REF!</f>
        <v>#REF!</v>
      </c>
      <c r="BG56" s="44" t="e">
        <f>AU56*#REF!</f>
        <v>#REF!</v>
      </c>
      <c r="BH56" s="44" t="e">
        <f>AV56*#REF!</f>
        <v>#REF!</v>
      </c>
      <c r="BI56" s="44" t="e">
        <f>AW56*#REF!</f>
        <v>#REF!</v>
      </c>
      <c r="BJ56" s="44" t="e">
        <f>AX56*#REF!</f>
        <v>#REF!</v>
      </c>
      <c r="BK56" s="44" t="e">
        <f>AY56*#REF!</f>
        <v>#REF!</v>
      </c>
      <c r="BL56" s="44" t="e">
        <f>AZ56*#REF!</f>
        <v>#REF!</v>
      </c>
      <c r="BM56" s="44" t="e">
        <f t="shared" si="18"/>
        <v>#REF!</v>
      </c>
      <c r="BN56" s="83" t="e">
        <f t="shared" si="19"/>
        <v>#REF!</v>
      </c>
      <c r="BP56" s="87">
        <v>98.746798630076327</v>
      </c>
      <c r="BQ56" s="87">
        <v>0.85346777440833721</v>
      </c>
    </row>
    <row r="57" spans="1:69" s="25" customFormat="1" ht="18">
      <c r="A57" s="3" t="s">
        <v>276</v>
      </c>
      <c r="B57" s="3">
        <v>31</v>
      </c>
      <c r="C57" s="21">
        <v>31</v>
      </c>
      <c r="D57" s="26" t="s">
        <v>148</v>
      </c>
      <c r="E57" s="23" t="s">
        <v>320</v>
      </c>
      <c r="F57" s="3"/>
      <c r="G57" s="3"/>
      <c r="H57" s="4" t="s">
        <v>472</v>
      </c>
      <c r="I57" s="24" t="s">
        <v>32</v>
      </c>
      <c r="J57" s="24">
        <v>85</v>
      </c>
      <c r="K57" s="24" t="s">
        <v>118</v>
      </c>
      <c r="L57" s="35">
        <v>20201125</v>
      </c>
      <c r="M57" s="3"/>
      <c r="N57" s="3"/>
      <c r="O57" s="3">
        <v>40.39</v>
      </c>
      <c r="P57" s="3">
        <v>1.34</v>
      </c>
      <c r="Q57" s="3">
        <v>0.46</v>
      </c>
      <c r="R57" s="3">
        <v>30</v>
      </c>
      <c r="S57" s="3">
        <v>1211.7</v>
      </c>
      <c r="T57" s="39">
        <v>30.630071640014648</v>
      </c>
      <c r="U57" s="39">
        <v>26.353775024414062</v>
      </c>
      <c r="V57" s="39">
        <v>26.806018829345703</v>
      </c>
      <c r="W57" s="39">
        <v>26.21989631652832</v>
      </c>
      <c r="X57" s="39">
        <v>25.92220401763916</v>
      </c>
      <c r="Y57" s="39">
        <v>25.339635848999023</v>
      </c>
      <c r="Z57" s="39">
        <v>25.389344215393066</v>
      </c>
      <c r="AA57" s="39">
        <v>25.744035720825195</v>
      </c>
      <c r="AB57" s="39">
        <v>39.022518157958984</v>
      </c>
      <c r="AC57" s="39">
        <v>28.108107566833496</v>
      </c>
      <c r="AD57" s="39">
        <v>39.341266632080078</v>
      </c>
      <c r="AE57" s="39">
        <v>26.308089256286621</v>
      </c>
      <c r="AF57" s="39">
        <v>31.379887580871582</v>
      </c>
      <c r="AG57" s="39">
        <v>26.255157470703125</v>
      </c>
      <c r="AH57" s="39">
        <v>35.188318252563477</v>
      </c>
      <c r="AI57" s="39">
        <v>26.421102523803711</v>
      </c>
      <c r="AJ57" s="39">
        <v>36.594205856323242</v>
      </c>
      <c r="AK57" s="39">
        <v>26.287972450256348</v>
      </c>
      <c r="AL57" s="24" t="s">
        <v>32</v>
      </c>
      <c r="AM57" s="68">
        <f t="shared" si="20"/>
        <v>99.86408588113585</v>
      </c>
      <c r="AP57" s="4" t="s">
        <v>472</v>
      </c>
      <c r="AQ57" s="24" t="s">
        <v>32</v>
      </c>
      <c r="AR57" s="44">
        <f t="shared" si="9"/>
        <v>4.2762966156005859</v>
      </c>
      <c r="AS57" s="44">
        <f t="shared" si="10"/>
        <v>0.58612251281738281</v>
      </c>
      <c r="AT57" s="44">
        <f t="shared" si="11"/>
        <v>0.58256816864013672</v>
      </c>
      <c r="AU57" s="44">
        <f t="shared" si="12"/>
        <v>-0.35469150543212891</v>
      </c>
      <c r="AV57" s="44">
        <f t="shared" si="13"/>
        <v>10.914410591125488</v>
      </c>
      <c r="AW57" s="44">
        <f t="shared" si="14"/>
        <v>13.033177375793457</v>
      </c>
      <c r="AX57" s="44">
        <f t="shared" si="15"/>
        <v>5.124730110168457</v>
      </c>
      <c r="AY57" s="44">
        <f t="shared" si="16"/>
        <v>8.7672157287597656</v>
      </c>
      <c r="AZ57" s="44">
        <f t="shared" si="17"/>
        <v>10.306233406066895</v>
      </c>
      <c r="BA57" s="44"/>
      <c r="BB57" s="4" t="s">
        <v>472</v>
      </c>
      <c r="BC57" s="24" t="s">
        <v>32</v>
      </c>
      <c r="BD57" s="44" t="e">
        <f>AR57*#REF!</f>
        <v>#REF!</v>
      </c>
      <c r="BE57" s="44" t="e">
        <f>AS57*#REF!</f>
        <v>#REF!</v>
      </c>
      <c r="BF57" s="44" t="e">
        <f>AT57*#REF!</f>
        <v>#REF!</v>
      </c>
      <c r="BG57" s="44" t="e">
        <f>AU57*#REF!</f>
        <v>#REF!</v>
      </c>
      <c r="BH57" s="44" t="e">
        <f>AV57*#REF!</f>
        <v>#REF!</v>
      </c>
      <c r="BI57" s="44" t="e">
        <f>AW57*#REF!</f>
        <v>#REF!</v>
      </c>
      <c r="BJ57" s="44" t="e">
        <f>AX57*#REF!</f>
        <v>#REF!</v>
      </c>
      <c r="BK57" s="44" t="e">
        <f>AY57*#REF!</f>
        <v>#REF!</v>
      </c>
      <c r="BL57" s="44" t="e">
        <f>AZ57*#REF!</f>
        <v>#REF!</v>
      </c>
      <c r="BM57" s="44" t="e">
        <f t="shared" si="18"/>
        <v>#REF!</v>
      </c>
      <c r="BN57" s="83" t="e">
        <f t="shared" si="19"/>
        <v>#REF!</v>
      </c>
      <c r="BP57" s="87">
        <v>99.86408588113585</v>
      </c>
      <c r="BQ57" s="87">
        <v>0.8852491747957697</v>
      </c>
    </row>
    <row r="58" spans="1:69" s="25" customFormat="1" ht="18">
      <c r="A58" s="3" t="s">
        <v>276</v>
      </c>
      <c r="B58" s="3">
        <v>32</v>
      </c>
      <c r="C58" s="21">
        <v>32</v>
      </c>
      <c r="D58" s="28" t="s">
        <v>149</v>
      </c>
      <c r="E58" s="23" t="s">
        <v>321</v>
      </c>
      <c r="F58" s="3"/>
      <c r="G58" s="3"/>
      <c r="H58" s="4" t="s">
        <v>473</v>
      </c>
      <c r="I58" s="24" t="s">
        <v>32</v>
      </c>
      <c r="J58" s="24">
        <v>70</v>
      </c>
      <c r="K58" s="24" t="s">
        <v>118</v>
      </c>
      <c r="L58" s="35">
        <v>20191204</v>
      </c>
      <c r="M58" s="3"/>
      <c r="N58" s="3"/>
      <c r="O58" s="3">
        <v>52.72</v>
      </c>
      <c r="P58" s="3">
        <v>1.36</v>
      </c>
      <c r="Q58" s="3">
        <v>0.49</v>
      </c>
      <c r="R58" s="3">
        <v>30</v>
      </c>
      <c r="S58" s="3">
        <v>1581.7</v>
      </c>
      <c r="T58" s="39">
        <v>29.63352108001709</v>
      </c>
      <c r="U58" s="39">
        <v>26.324705123901367</v>
      </c>
      <c r="V58" s="39">
        <v>27.098328590393066</v>
      </c>
      <c r="W58" s="39">
        <v>26.384949684143066</v>
      </c>
      <c r="X58" s="39">
        <v>25.363284111022949</v>
      </c>
      <c r="Y58" s="39">
        <v>25.268697738647461</v>
      </c>
      <c r="Z58" s="39">
        <v>25.878627777099609</v>
      </c>
      <c r="AA58" s="39">
        <v>25.957880020141602</v>
      </c>
      <c r="AB58" s="39">
        <v>38.904438018798828</v>
      </c>
      <c r="AC58" s="39">
        <v>28.316652297973633</v>
      </c>
      <c r="AD58" s="39">
        <v>38.463066101074219</v>
      </c>
      <c r="AE58" s="39">
        <v>26.463837623596191</v>
      </c>
      <c r="AF58" s="39">
        <v>32.237710952758789</v>
      </c>
      <c r="AG58" s="39">
        <v>26.381952285766602</v>
      </c>
      <c r="AH58" s="39">
        <v>34.952526092529297</v>
      </c>
      <c r="AI58" s="39">
        <v>26.531739234924316</v>
      </c>
      <c r="AJ58" s="39">
        <v>37.135711669921875</v>
      </c>
      <c r="AK58" s="39">
        <v>26.387680053710938</v>
      </c>
      <c r="AL58" s="24" t="s">
        <v>32</v>
      </c>
      <c r="AM58" s="68">
        <f t="shared" si="20"/>
        <v>99.230245018372742</v>
      </c>
      <c r="AP58" s="4" t="s">
        <v>473</v>
      </c>
      <c r="AQ58" s="24" t="s">
        <v>32</v>
      </c>
      <c r="AR58" s="44">
        <f t="shared" si="9"/>
        <v>3.3088159561157227</v>
      </c>
      <c r="AS58" s="44">
        <f t="shared" si="10"/>
        <v>0.71337890625</v>
      </c>
      <c r="AT58" s="44">
        <f t="shared" si="11"/>
        <v>9.4586372375488281E-2</v>
      </c>
      <c r="AU58" s="44">
        <f t="shared" si="12"/>
        <v>-7.9252243041992188E-2</v>
      </c>
      <c r="AV58" s="44">
        <f t="shared" si="13"/>
        <v>10.587785720825195</v>
      </c>
      <c r="AW58" s="44">
        <f t="shared" si="14"/>
        <v>11.999228477478027</v>
      </c>
      <c r="AX58" s="44">
        <f t="shared" si="15"/>
        <v>5.8557586669921875</v>
      </c>
      <c r="AY58" s="44">
        <f t="shared" si="16"/>
        <v>8.4207868576049805</v>
      </c>
      <c r="AZ58" s="44">
        <f t="shared" si="17"/>
        <v>10.748031616210938</v>
      </c>
      <c r="BA58" s="44"/>
      <c r="BB58" s="4" t="s">
        <v>473</v>
      </c>
      <c r="BC58" s="24" t="s">
        <v>32</v>
      </c>
      <c r="BD58" s="44" t="e">
        <f>AR58*#REF!</f>
        <v>#REF!</v>
      </c>
      <c r="BE58" s="44" t="e">
        <f>AS58*#REF!</f>
        <v>#REF!</v>
      </c>
      <c r="BF58" s="44" t="e">
        <f>AT58*#REF!</f>
        <v>#REF!</v>
      </c>
      <c r="BG58" s="44" t="e">
        <f>AU58*#REF!</f>
        <v>#REF!</v>
      </c>
      <c r="BH58" s="44" t="e">
        <f>AV58*#REF!</f>
        <v>#REF!</v>
      </c>
      <c r="BI58" s="44" t="e">
        <f>AW58*#REF!</f>
        <v>#REF!</v>
      </c>
      <c r="BJ58" s="44" t="e">
        <f>AX58*#REF!</f>
        <v>#REF!</v>
      </c>
      <c r="BK58" s="44" t="e">
        <f>AY58*#REF!</f>
        <v>#REF!</v>
      </c>
      <c r="BL58" s="44" t="e">
        <f>AZ58*#REF!</f>
        <v>#REF!</v>
      </c>
      <c r="BM58" s="44" t="e">
        <f t="shared" si="18"/>
        <v>#REF!</v>
      </c>
      <c r="BN58" s="83" t="e">
        <f t="shared" si="19"/>
        <v>#REF!</v>
      </c>
      <c r="BP58" s="87">
        <v>99.230245018372742</v>
      </c>
      <c r="BQ58" s="87">
        <v>0.87241636772731612</v>
      </c>
    </row>
    <row r="59" spans="1:69" s="25" customFormat="1" ht="18">
      <c r="A59" s="3" t="s">
        <v>276</v>
      </c>
      <c r="B59" s="3">
        <v>33</v>
      </c>
      <c r="C59" s="21">
        <v>33</v>
      </c>
      <c r="D59" s="22" t="s">
        <v>150</v>
      </c>
      <c r="E59" s="23" t="s">
        <v>322</v>
      </c>
      <c r="F59" s="3"/>
      <c r="G59" s="3"/>
      <c r="H59" s="4" t="s">
        <v>474</v>
      </c>
      <c r="I59" s="24" t="s">
        <v>32</v>
      </c>
      <c r="J59" s="24">
        <v>71</v>
      </c>
      <c r="K59" s="24" t="s">
        <v>118</v>
      </c>
      <c r="L59" s="35">
        <v>20200824</v>
      </c>
      <c r="M59" s="3"/>
      <c r="N59" s="3"/>
      <c r="O59" s="3">
        <v>32.89</v>
      </c>
      <c r="P59" s="3">
        <v>1.32</v>
      </c>
      <c r="Q59" s="3">
        <v>0.48</v>
      </c>
      <c r="R59" s="3">
        <v>30</v>
      </c>
      <c r="S59" s="3">
        <v>986.8</v>
      </c>
      <c r="T59" s="39">
        <v>27.605560302734375</v>
      </c>
      <c r="U59" s="39">
        <v>26.885430335998535</v>
      </c>
      <c r="V59" s="39">
        <v>26.02558422088623</v>
      </c>
      <c r="W59" s="39">
        <v>26.732179641723633</v>
      </c>
      <c r="X59" s="39">
        <v>23.862088203430176</v>
      </c>
      <c r="Y59" s="39">
        <v>25.729118347167969</v>
      </c>
      <c r="Z59" s="39">
        <v>24.745360374450684</v>
      </c>
      <c r="AA59" s="39">
        <v>26.121026992797852</v>
      </c>
      <c r="AB59" s="39">
        <v>37.764070510864258</v>
      </c>
      <c r="AC59" s="39">
        <v>28.642152786254883</v>
      </c>
      <c r="AD59" s="39">
        <v>35.935583114624023</v>
      </c>
      <c r="AE59" s="39">
        <v>26.907784461975098</v>
      </c>
      <c r="AF59" s="39">
        <v>30.420462608337402</v>
      </c>
      <c r="AG59" s="39">
        <v>26.946256637573242</v>
      </c>
      <c r="AH59" s="39">
        <v>32.627283096313477</v>
      </c>
      <c r="AI59" s="39">
        <v>26.966367721557617</v>
      </c>
      <c r="AJ59" s="39">
        <v>33.826047897338867</v>
      </c>
      <c r="AK59" s="39">
        <v>26.767035484313965</v>
      </c>
      <c r="AL59" s="24" t="s">
        <v>32</v>
      </c>
      <c r="AM59" s="68">
        <f t="shared" si="20"/>
        <v>99.969091511386779</v>
      </c>
      <c r="AP59" s="4" t="s">
        <v>474</v>
      </c>
      <c r="AQ59" s="24" t="s">
        <v>32</v>
      </c>
      <c r="AR59" s="44">
        <f t="shared" si="9"/>
        <v>0.72012996673583984</v>
      </c>
      <c r="AS59" s="44">
        <f t="shared" si="10"/>
        <v>-0.70659542083740234</v>
      </c>
      <c r="AT59" s="44">
        <f t="shared" si="11"/>
        <v>-1.867030143737793</v>
      </c>
      <c r="AU59" s="44">
        <f t="shared" si="12"/>
        <v>-1.375666618347168</v>
      </c>
      <c r="AV59" s="44">
        <f t="shared" si="13"/>
        <v>9.121917724609375</v>
      </c>
      <c r="AW59" s="44">
        <f t="shared" si="14"/>
        <v>9.0277986526489258</v>
      </c>
      <c r="AX59" s="44">
        <f t="shared" si="15"/>
        <v>3.4742059707641602</v>
      </c>
      <c r="AY59" s="44">
        <f t="shared" si="16"/>
        <v>5.6609153747558594</v>
      </c>
      <c r="AZ59" s="44">
        <f t="shared" si="17"/>
        <v>7.0590124130249023</v>
      </c>
      <c r="BA59" s="44"/>
      <c r="BB59" s="4" t="s">
        <v>474</v>
      </c>
      <c r="BC59" s="24" t="s">
        <v>32</v>
      </c>
      <c r="BD59" s="44" t="e">
        <f>AR59*#REF!</f>
        <v>#REF!</v>
      </c>
      <c r="BE59" s="44" t="e">
        <f>AS59*#REF!</f>
        <v>#REF!</v>
      </c>
      <c r="BF59" s="44" t="e">
        <f>AT59*#REF!</f>
        <v>#REF!</v>
      </c>
      <c r="BG59" s="44" t="e">
        <f>AU59*#REF!</f>
        <v>#REF!</v>
      </c>
      <c r="BH59" s="44" t="e">
        <f>AV59*#REF!</f>
        <v>#REF!</v>
      </c>
      <c r="BI59" s="44" t="e">
        <f>AW59*#REF!</f>
        <v>#REF!</v>
      </c>
      <c r="BJ59" s="44" t="e">
        <f>AX59*#REF!</f>
        <v>#REF!</v>
      </c>
      <c r="BK59" s="44" t="e">
        <f>AY59*#REF!</f>
        <v>#REF!</v>
      </c>
      <c r="BL59" s="44" t="e">
        <f>AZ59*#REF!</f>
        <v>#REF!</v>
      </c>
      <c r="BM59" s="44" t="e">
        <f t="shared" si="18"/>
        <v>#REF!</v>
      </c>
      <c r="BN59" s="83" t="e">
        <f t="shared" si="19"/>
        <v>#REF!</v>
      </c>
      <c r="BP59" s="87">
        <v>99.969091511386779</v>
      </c>
      <c r="BQ59" s="87">
        <v>0.99275004444720172</v>
      </c>
    </row>
    <row r="60" spans="1:69" s="25" customFormat="1" ht="18">
      <c r="A60" s="3" t="s">
        <v>276</v>
      </c>
      <c r="B60" s="3">
        <v>34</v>
      </c>
      <c r="C60" s="21">
        <v>34</v>
      </c>
      <c r="D60" s="22" t="s">
        <v>151</v>
      </c>
      <c r="E60" s="23" t="s">
        <v>323</v>
      </c>
      <c r="F60" s="3"/>
      <c r="G60" s="3"/>
      <c r="H60" s="4" t="s">
        <v>438</v>
      </c>
      <c r="I60" s="24" t="s">
        <v>32</v>
      </c>
      <c r="J60" s="24">
        <v>72</v>
      </c>
      <c r="K60" s="24" t="s">
        <v>118</v>
      </c>
      <c r="L60" s="35">
        <v>20210316</v>
      </c>
      <c r="M60" s="3"/>
      <c r="N60" s="3"/>
      <c r="O60" s="3">
        <v>24.67</v>
      </c>
      <c r="P60" s="3">
        <v>1.28</v>
      </c>
      <c r="Q60" s="3">
        <v>0.47</v>
      </c>
      <c r="R60" s="3">
        <v>30</v>
      </c>
      <c r="S60" s="3">
        <v>740.2</v>
      </c>
      <c r="T60" s="39">
        <v>27.403627395629883</v>
      </c>
      <c r="U60" s="39">
        <v>26.86603832244873</v>
      </c>
      <c r="V60" s="39">
        <v>26.076554298400879</v>
      </c>
      <c r="W60" s="39">
        <v>26.804103851318359</v>
      </c>
      <c r="X60" s="39">
        <v>25.008384704589844</v>
      </c>
      <c r="Y60" s="39">
        <v>25.677643775939941</v>
      </c>
      <c r="Z60" s="39">
        <v>25.901707649230957</v>
      </c>
      <c r="AA60" s="39">
        <v>26.440237045288086</v>
      </c>
      <c r="AB60" s="39">
        <v>39.29554557800293</v>
      </c>
      <c r="AC60" s="39">
        <v>28.622756958007812</v>
      </c>
      <c r="AD60" s="39">
        <v>36.251737594604492</v>
      </c>
      <c r="AE60" s="39">
        <v>26.918867111206055</v>
      </c>
      <c r="AF60" s="39">
        <v>31.565641403198242</v>
      </c>
      <c r="AG60" s="39">
        <v>26.84058952331543</v>
      </c>
      <c r="AH60" s="39">
        <v>32.509504318237305</v>
      </c>
      <c r="AI60" s="39">
        <v>26.964386940002441</v>
      </c>
      <c r="AJ60" s="39">
        <v>34.914138793945312</v>
      </c>
      <c r="AK60" s="39">
        <v>26.925631523132324</v>
      </c>
      <c r="AL60" s="24" t="s">
        <v>32</v>
      </c>
      <c r="AM60" s="68">
        <f t="shared" si="20"/>
        <v>99.443376103950342</v>
      </c>
      <c r="AP60" s="4" t="s">
        <v>438</v>
      </c>
      <c r="AQ60" s="24" t="s">
        <v>32</v>
      </c>
      <c r="AR60" s="44">
        <f t="shared" si="9"/>
        <v>0.53758907318115234</v>
      </c>
      <c r="AS60" s="44">
        <f t="shared" si="10"/>
        <v>-0.72754955291748047</v>
      </c>
      <c r="AT60" s="44">
        <f t="shared" si="11"/>
        <v>-0.66925907135009766</v>
      </c>
      <c r="AU60" s="44">
        <f t="shared" si="12"/>
        <v>-0.53852939605712891</v>
      </c>
      <c r="AV60" s="44">
        <f t="shared" si="13"/>
        <v>10.672788619995117</v>
      </c>
      <c r="AW60" s="44">
        <f t="shared" si="14"/>
        <v>9.3328704833984375</v>
      </c>
      <c r="AX60" s="44">
        <f t="shared" si="15"/>
        <v>4.7250518798828125</v>
      </c>
      <c r="AY60" s="44">
        <f t="shared" si="16"/>
        <v>5.5451173782348633</v>
      </c>
      <c r="AZ60" s="44">
        <f t="shared" si="17"/>
        <v>7.9885072708129883</v>
      </c>
      <c r="BA60" s="44"/>
      <c r="BB60" s="4" t="s">
        <v>438</v>
      </c>
      <c r="BC60" s="24" t="s">
        <v>32</v>
      </c>
      <c r="BD60" s="44" t="e">
        <f>AR60*#REF!</f>
        <v>#REF!</v>
      </c>
      <c r="BE60" s="44" t="e">
        <f>AS60*#REF!</f>
        <v>#REF!</v>
      </c>
      <c r="BF60" s="44" t="e">
        <f>AT60*#REF!</f>
        <v>#REF!</v>
      </c>
      <c r="BG60" s="44" t="e">
        <f>AU60*#REF!</f>
        <v>#REF!</v>
      </c>
      <c r="BH60" s="44" t="e">
        <f>AV60*#REF!</f>
        <v>#REF!</v>
      </c>
      <c r="BI60" s="44" t="e">
        <f>AW60*#REF!</f>
        <v>#REF!</v>
      </c>
      <c r="BJ60" s="44" t="e">
        <f>AX60*#REF!</f>
        <v>#REF!</v>
      </c>
      <c r="BK60" s="44" t="e">
        <f>AY60*#REF!</f>
        <v>#REF!</v>
      </c>
      <c r="BL60" s="44" t="e">
        <f>AZ60*#REF!</f>
        <v>#REF!</v>
      </c>
      <c r="BM60" s="44" t="e">
        <f t="shared" si="18"/>
        <v>#REF!</v>
      </c>
      <c r="BN60" s="83" t="e">
        <f t="shared" si="19"/>
        <v>#REF!</v>
      </c>
      <c r="BP60" s="87">
        <v>99.443376103950342</v>
      </c>
      <c r="BQ60" s="87">
        <v>0.9632313120952738</v>
      </c>
    </row>
    <row r="61" spans="1:69" s="25" customFormat="1" ht="18">
      <c r="A61" s="3" t="s">
        <v>276</v>
      </c>
      <c r="B61" s="3">
        <v>35</v>
      </c>
      <c r="C61" s="21">
        <v>35</v>
      </c>
      <c r="D61" s="22" t="s">
        <v>152</v>
      </c>
      <c r="E61" s="23" t="s">
        <v>324</v>
      </c>
      <c r="F61" s="3"/>
      <c r="G61" s="3"/>
      <c r="H61" s="4" t="s">
        <v>475</v>
      </c>
      <c r="I61" s="24" t="s">
        <v>32</v>
      </c>
      <c r="J61" s="24">
        <v>73</v>
      </c>
      <c r="K61" s="24" t="s">
        <v>118</v>
      </c>
      <c r="L61" s="35">
        <v>20200914</v>
      </c>
      <c r="M61" s="3"/>
      <c r="N61" s="3"/>
      <c r="O61" s="3">
        <v>27.19</v>
      </c>
      <c r="P61" s="3">
        <v>1.3</v>
      </c>
      <c r="Q61" s="3">
        <v>0.47</v>
      </c>
      <c r="R61" s="3">
        <v>30</v>
      </c>
      <c r="S61" s="3">
        <v>815.6</v>
      </c>
      <c r="T61" s="39">
        <v>27.409976959228516</v>
      </c>
      <c r="U61" s="39">
        <v>26.192185401916504</v>
      </c>
      <c r="V61" s="39">
        <v>25.788897514343262</v>
      </c>
      <c r="W61" s="39">
        <v>26.101574897766113</v>
      </c>
      <c r="X61" s="39">
        <v>24.54517650604248</v>
      </c>
      <c r="Y61" s="39">
        <v>25.058680534362793</v>
      </c>
      <c r="Z61" s="39">
        <v>25.651646614074707</v>
      </c>
      <c r="AA61" s="39">
        <v>25.789234161376953</v>
      </c>
      <c r="AB61" s="39">
        <v>38.587230682373047</v>
      </c>
      <c r="AC61" s="39">
        <v>27.941974639892578</v>
      </c>
      <c r="AD61" s="39">
        <v>36.268108367919922</v>
      </c>
      <c r="AE61" s="39">
        <v>26.173456192016602</v>
      </c>
      <c r="AF61" s="39">
        <v>31.70405387878418</v>
      </c>
      <c r="AG61" s="39">
        <v>26.088592529296875</v>
      </c>
      <c r="AH61" s="39">
        <v>32.800151824951172</v>
      </c>
      <c r="AI61" s="39">
        <v>26.219967842102051</v>
      </c>
      <c r="AJ61" s="39">
        <v>34.443191528320312</v>
      </c>
      <c r="AK61" s="39">
        <v>26.315637588500977</v>
      </c>
      <c r="AL61" s="24" t="s">
        <v>32</v>
      </c>
      <c r="AM61" s="68">
        <f t="shared" si="20"/>
        <v>98.152842918706796</v>
      </c>
      <c r="AP61" s="4" t="s">
        <v>475</v>
      </c>
      <c r="AQ61" s="24" t="s">
        <v>32</v>
      </c>
      <c r="AR61" s="44">
        <f t="shared" si="9"/>
        <v>1.2177915573120117</v>
      </c>
      <c r="AS61" s="44">
        <f t="shared" si="10"/>
        <v>-0.31267738342285156</v>
      </c>
      <c r="AT61" s="44">
        <f t="shared" si="11"/>
        <v>-0.5135040283203125</v>
      </c>
      <c r="AU61" s="44">
        <f t="shared" si="12"/>
        <v>-0.13758754730224609</v>
      </c>
      <c r="AV61" s="44">
        <f t="shared" si="13"/>
        <v>10.645256042480469</v>
      </c>
      <c r="AW61" s="44">
        <f t="shared" si="14"/>
        <v>10.09465217590332</v>
      </c>
      <c r="AX61" s="44">
        <f t="shared" si="15"/>
        <v>5.6154613494873047</v>
      </c>
      <c r="AY61" s="44">
        <f t="shared" si="16"/>
        <v>6.5801839828491211</v>
      </c>
      <c r="AZ61" s="44">
        <f t="shared" si="17"/>
        <v>8.1275539398193359</v>
      </c>
      <c r="BA61" s="44"/>
      <c r="BB61" s="4" t="s">
        <v>475</v>
      </c>
      <c r="BC61" s="24" t="s">
        <v>32</v>
      </c>
      <c r="BD61" s="44" t="e">
        <f>AR61*#REF!</f>
        <v>#REF!</v>
      </c>
      <c r="BE61" s="44" t="e">
        <f>AS61*#REF!</f>
        <v>#REF!</v>
      </c>
      <c r="BF61" s="44" t="e">
        <f>AT61*#REF!</f>
        <v>#REF!</v>
      </c>
      <c r="BG61" s="44" t="e">
        <f>AU61*#REF!</f>
        <v>#REF!</v>
      </c>
      <c r="BH61" s="44" t="e">
        <f>AV61*#REF!</f>
        <v>#REF!</v>
      </c>
      <c r="BI61" s="44" t="e">
        <f>AW61*#REF!</f>
        <v>#REF!</v>
      </c>
      <c r="BJ61" s="44" t="e">
        <f>AX61*#REF!</f>
        <v>#REF!</v>
      </c>
      <c r="BK61" s="44" t="e">
        <f>AY61*#REF!</f>
        <v>#REF!</v>
      </c>
      <c r="BL61" s="44" t="e">
        <f>AZ61*#REF!</f>
        <v>#REF!</v>
      </c>
      <c r="BM61" s="44" t="e">
        <f t="shared" si="18"/>
        <v>#REF!</v>
      </c>
      <c r="BN61" s="83" t="e">
        <f t="shared" si="19"/>
        <v>#REF!</v>
      </c>
      <c r="BP61" s="87">
        <v>98.152842918706796</v>
      </c>
      <c r="BQ61" s="87">
        <v>0.91391657845919183</v>
      </c>
    </row>
    <row r="62" spans="1:69" s="25" customFormat="1" ht="18">
      <c r="A62" s="3" t="s">
        <v>276</v>
      </c>
      <c r="B62" s="3">
        <v>36</v>
      </c>
      <c r="C62" s="21">
        <v>36</v>
      </c>
      <c r="D62" s="22" t="s">
        <v>153</v>
      </c>
      <c r="E62" s="23" t="s">
        <v>325</v>
      </c>
      <c r="F62" s="3"/>
      <c r="G62" s="3"/>
      <c r="H62" s="4" t="s">
        <v>476</v>
      </c>
      <c r="I62" s="24" t="s">
        <v>32</v>
      </c>
      <c r="J62" s="24">
        <v>76</v>
      </c>
      <c r="K62" s="24" t="s">
        <v>118</v>
      </c>
      <c r="L62" s="35">
        <v>20190710</v>
      </c>
      <c r="M62" s="3"/>
      <c r="N62" s="3"/>
      <c r="O62" s="3">
        <v>27.33</v>
      </c>
      <c r="P62" s="3">
        <v>1.29</v>
      </c>
      <c r="Q62" s="3">
        <v>0.46</v>
      </c>
      <c r="R62" s="3">
        <v>30</v>
      </c>
      <c r="S62" s="3">
        <v>820</v>
      </c>
      <c r="T62" s="39">
        <v>28.946111679077148</v>
      </c>
      <c r="U62" s="39">
        <v>26.031800270080566</v>
      </c>
      <c r="V62" s="39">
        <v>26.563449859619141</v>
      </c>
      <c r="W62" s="39">
        <v>26.046394348144531</v>
      </c>
      <c r="X62" s="39">
        <v>25.089645385742188</v>
      </c>
      <c r="Y62" s="39">
        <v>25.109705924987793</v>
      </c>
      <c r="Z62" s="39">
        <v>25.703036308288574</v>
      </c>
      <c r="AA62" s="39">
        <v>25.78154182434082</v>
      </c>
      <c r="AB62" s="39">
        <v>37.540060043334961</v>
      </c>
      <c r="AC62" s="39">
        <v>27.996731758117676</v>
      </c>
      <c r="AD62" s="39">
        <v>35.131731033325195</v>
      </c>
      <c r="AE62" s="39">
        <v>26.12214469909668</v>
      </c>
      <c r="AF62" s="39">
        <v>31.888036727905273</v>
      </c>
      <c r="AG62" s="39">
        <v>26.004366874694824</v>
      </c>
      <c r="AH62" s="39">
        <v>32.202213287353516</v>
      </c>
      <c r="AI62" s="39">
        <v>26.102852821350098</v>
      </c>
      <c r="AJ62" s="39">
        <v>36.373956680297852</v>
      </c>
      <c r="AK62" s="39">
        <v>27.009445190429688</v>
      </c>
      <c r="AL62" s="24" t="s">
        <v>32</v>
      </c>
      <c r="AM62" s="68">
        <f t="shared" si="20"/>
        <v>99.263502162675678</v>
      </c>
      <c r="AP62" s="4" t="s">
        <v>476</v>
      </c>
      <c r="AQ62" s="24" t="s">
        <v>32</v>
      </c>
      <c r="AR62" s="44">
        <f t="shared" si="9"/>
        <v>2.914311408996582</v>
      </c>
      <c r="AS62" s="44">
        <f t="shared" si="10"/>
        <v>0.51705551147460938</v>
      </c>
      <c r="AT62" s="44">
        <f t="shared" si="11"/>
        <v>-2.0060539245605469E-2</v>
      </c>
      <c r="AU62" s="44">
        <f t="shared" si="12"/>
        <v>-7.8505516052246094E-2</v>
      </c>
      <c r="AV62" s="44">
        <f t="shared" si="13"/>
        <v>9.5433282852172852</v>
      </c>
      <c r="AW62" s="44">
        <f t="shared" si="14"/>
        <v>9.0095863342285156</v>
      </c>
      <c r="AX62" s="44">
        <f t="shared" si="15"/>
        <v>5.8836698532104492</v>
      </c>
      <c r="AY62" s="44">
        <f t="shared" si="16"/>
        <v>6.099360466003418</v>
      </c>
      <c r="AZ62" s="44">
        <f t="shared" si="17"/>
        <v>9.3645114898681641</v>
      </c>
      <c r="BA62" s="44"/>
      <c r="BB62" s="4" t="s">
        <v>476</v>
      </c>
      <c r="BC62" s="24" t="s">
        <v>32</v>
      </c>
      <c r="BD62" s="44" t="e">
        <f>AR62*#REF!</f>
        <v>#REF!</v>
      </c>
      <c r="BE62" s="44" t="e">
        <f>AS62*#REF!</f>
        <v>#REF!</v>
      </c>
      <c r="BF62" s="44" t="e">
        <f>AT62*#REF!</f>
        <v>#REF!</v>
      </c>
      <c r="BG62" s="44" t="e">
        <f>AU62*#REF!</f>
        <v>#REF!</v>
      </c>
      <c r="BH62" s="44" t="e">
        <f>AV62*#REF!</f>
        <v>#REF!</v>
      </c>
      <c r="BI62" s="44" t="e">
        <f>AW62*#REF!</f>
        <v>#REF!</v>
      </c>
      <c r="BJ62" s="44" t="e">
        <f>AX62*#REF!</f>
        <v>#REF!</v>
      </c>
      <c r="BK62" s="44" t="e">
        <f>AY62*#REF!</f>
        <v>#REF!</v>
      </c>
      <c r="BL62" s="44" t="e">
        <f>AZ62*#REF!</f>
        <v>#REF!</v>
      </c>
      <c r="BM62" s="44" t="e">
        <f t="shared" si="18"/>
        <v>#REF!</v>
      </c>
      <c r="BN62" s="83" t="e">
        <f t="shared" si="19"/>
        <v>#REF!</v>
      </c>
      <c r="BP62" s="87">
        <v>99.263502162675678</v>
      </c>
      <c r="BQ62" s="87">
        <v>0.9533144521468242</v>
      </c>
    </row>
    <row r="63" spans="1:69" s="25" customFormat="1" ht="18">
      <c r="A63" s="3" t="s">
        <v>276</v>
      </c>
      <c r="B63" s="3">
        <v>37</v>
      </c>
      <c r="C63" s="21">
        <v>37</v>
      </c>
      <c r="D63" s="22" t="s">
        <v>154</v>
      </c>
      <c r="E63" s="23" t="s">
        <v>326</v>
      </c>
      <c r="F63" s="3"/>
      <c r="G63" s="3"/>
      <c r="H63" s="4" t="s">
        <v>477</v>
      </c>
      <c r="I63" s="24" t="s">
        <v>32</v>
      </c>
      <c r="J63" s="24">
        <v>78</v>
      </c>
      <c r="K63" s="24" t="s">
        <v>118</v>
      </c>
      <c r="L63" s="35">
        <v>20200916</v>
      </c>
      <c r="M63" s="3"/>
      <c r="N63" s="3"/>
      <c r="O63" s="3">
        <v>15.31</v>
      </c>
      <c r="P63" s="3">
        <v>1.25</v>
      </c>
      <c r="Q63" s="3">
        <v>0.43</v>
      </c>
      <c r="R63" s="3">
        <v>30</v>
      </c>
      <c r="S63" s="3">
        <v>459.2</v>
      </c>
      <c r="T63" s="39">
        <v>25.23320484161377</v>
      </c>
      <c r="U63" s="39">
        <v>26.297915458679199</v>
      </c>
      <c r="V63" s="39">
        <v>24.409208297729492</v>
      </c>
      <c r="W63" s="39">
        <v>26.168512344360352</v>
      </c>
      <c r="X63" s="39">
        <v>26.015212059020996</v>
      </c>
      <c r="Y63" s="39">
        <v>25.566704750061035</v>
      </c>
      <c r="Z63" s="39">
        <v>24.754944801330566</v>
      </c>
      <c r="AA63" s="39">
        <v>25.904403686523438</v>
      </c>
      <c r="AB63" s="39">
        <v>35.585844039916992</v>
      </c>
      <c r="AC63" s="39">
        <v>28.17974853515625</v>
      </c>
      <c r="AD63" s="39">
        <v>30.809572219848633</v>
      </c>
      <c r="AE63" s="39">
        <v>26.480562210083008</v>
      </c>
      <c r="AF63" s="39">
        <v>31.391861915588379</v>
      </c>
      <c r="AG63" s="39">
        <v>26.570085525512695</v>
      </c>
      <c r="AH63" s="39">
        <v>28.479434013366699</v>
      </c>
      <c r="AI63" s="39">
        <v>26.137828826904297</v>
      </c>
      <c r="AJ63" s="39">
        <v>32.47972297668457</v>
      </c>
      <c r="AK63" s="39">
        <v>26.481058120727539</v>
      </c>
      <c r="AL63" s="24" t="s">
        <v>32</v>
      </c>
      <c r="AM63" s="68">
        <f t="shared" si="20"/>
        <v>99.449519581728566</v>
      </c>
      <c r="AP63" s="4" t="s">
        <v>477</v>
      </c>
      <c r="AQ63" s="24" t="s">
        <v>32</v>
      </c>
      <c r="AR63" s="44">
        <f t="shared" si="9"/>
        <v>-1.0647106170654297</v>
      </c>
      <c r="AS63" s="44">
        <f t="shared" si="10"/>
        <v>-1.7593040466308594</v>
      </c>
      <c r="AT63" s="44">
        <f t="shared" si="11"/>
        <v>0.44850730895996094</v>
      </c>
      <c r="AU63" s="44">
        <f t="shared" si="12"/>
        <v>-1.1494588851928711</v>
      </c>
      <c r="AV63" s="44">
        <f t="shared" si="13"/>
        <v>7.4060955047607422</v>
      </c>
      <c r="AW63" s="44">
        <f t="shared" si="14"/>
        <v>4.329010009765625</v>
      </c>
      <c r="AX63" s="44">
        <f t="shared" si="15"/>
        <v>4.8217763900756836</v>
      </c>
      <c r="AY63" s="44">
        <f t="shared" si="16"/>
        <v>2.3416051864624023</v>
      </c>
      <c r="AZ63" s="44">
        <f t="shared" si="17"/>
        <v>5.9986648559570312</v>
      </c>
      <c r="BA63" s="44"/>
      <c r="BB63" s="4" t="s">
        <v>477</v>
      </c>
      <c r="BC63" s="24" t="s">
        <v>32</v>
      </c>
      <c r="BD63" s="44" t="e">
        <f>AR63*#REF!</f>
        <v>#REF!</v>
      </c>
      <c r="BE63" s="44" t="e">
        <f>AS63*#REF!</f>
        <v>#REF!</v>
      </c>
      <c r="BF63" s="44" t="e">
        <f>AT63*#REF!</f>
        <v>#REF!</v>
      </c>
      <c r="BG63" s="44" t="e">
        <f>AU63*#REF!</f>
        <v>#REF!</v>
      </c>
      <c r="BH63" s="44" t="e">
        <f>AV63*#REF!</f>
        <v>#REF!</v>
      </c>
      <c r="BI63" s="44" t="e">
        <f>AW63*#REF!</f>
        <v>#REF!</v>
      </c>
      <c r="BJ63" s="44" t="e">
        <f>AX63*#REF!</f>
        <v>#REF!</v>
      </c>
      <c r="BK63" s="44" t="e">
        <f>AY63*#REF!</f>
        <v>#REF!</v>
      </c>
      <c r="BL63" s="44" t="e">
        <f>AZ63*#REF!</f>
        <v>#REF!</v>
      </c>
      <c r="BM63" s="44" t="e">
        <f t="shared" si="18"/>
        <v>#REF!</v>
      </c>
      <c r="BN63" s="83" t="e">
        <f t="shared" si="19"/>
        <v>#REF!</v>
      </c>
      <c r="BP63" s="87">
        <v>99.449519581728566</v>
      </c>
      <c r="BQ63" s="87">
        <v>0.99279617571322298</v>
      </c>
    </row>
    <row r="64" spans="1:69" s="25" customFormat="1" ht="18">
      <c r="A64" s="3" t="s">
        <v>276</v>
      </c>
      <c r="B64" s="3">
        <v>38</v>
      </c>
      <c r="C64" s="21">
        <v>38</v>
      </c>
      <c r="D64" s="22" t="s">
        <v>155</v>
      </c>
      <c r="E64" s="23" t="s">
        <v>327</v>
      </c>
      <c r="F64" s="3"/>
      <c r="G64" s="3"/>
      <c r="H64" s="4" t="s">
        <v>478</v>
      </c>
      <c r="I64" s="24" t="s">
        <v>32</v>
      </c>
      <c r="J64" s="24">
        <v>78</v>
      </c>
      <c r="K64" s="24" t="s">
        <v>118</v>
      </c>
      <c r="L64" s="35">
        <v>20201007</v>
      </c>
      <c r="M64" s="3"/>
      <c r="N64" s="3"/>
      <c r="O64" s="3">
        <v>31.96</v>
      </c>
      <c r="P64" s="3">
        <v>1.34</v>
      </c>
      <c r="Q64" s="3">
        <v>0.47</v>
      </c>
      <c r="R64" s="3">
        <v>30</v>
      </c>
      <c r="S64" s="3">
        <v>958.8</v>
      </c>
      <c r="T64" s="39">
        <v>27.732075691223145</v>
      </c>
      <c r="U64" s="39">
        <v>26.804024696350098</v>
      </c>
      <c r="V64" s="39">
        <v>26.601110458374023</v>
      </c>
      <c r="W64" s="39">
        <v>26.817532539367676</v>
      </c>
      <c r="X64" s="39">
        <v>25.452696800231934</v>
      </c>
      <c r="Y64" s="39">
        <v>25.831515312194824</v>
      </c>
      <c r="Z64" s="39">
        <v>24.742486953735352</v>
      </c>
      <c r="AA64" s="39">
        <v>26.209623336791992</v>
      </c>
      <c r="AB64" s="39">
        <v>38.023500442504883</v>
      </c>
      <c r="AC64" s="39">
        <v>28.583782196044922</v>
      </c>
      <c r="AD64" s="39">
        <v>34.854793548583984</v>
      </c>
      <c r="AE64" s="39">
        <v>26.851966857910156</v>
      </c>
      <c r="AF64" s="39">
        <v>31.359580993652344</v>
      </c>
      <c r="AG64" s="39">
        <v>26.856749534606934</v>
      </c>
      <c r="AH64" s="39">
        <v>31.960832595825195</v>
      </c>
      <c r="AI64" s="39">
        <v>26.886000633239746</v>
      </c>
      <c r="AJ64" s="39">
        <v>34.389566421508789</v>
      </c>
      <c r="AK64" s="39">
        <v>26.839048385620117</v>
      </c>
      <c r="AL64" s="24" t="s">
        <v>32</v>
      </c>
      <c r="AM64" s="68">
        <f t="shared" si="20"/>
        <v>99.805221980142747</v>
      </c>
      <c r="AP64" s="4" t="s">
        <v>478</v>
      </c>
      <c r="AQ64" s="24" t="s">
        <v>32</v>
      </c>
      <c r="AR64" s="44">
        <f t="shared" si="9"/>
        <v>0.92805099487304688</v>
      </c>
      <c r="AS64" s="44">
        <f t="shared" si="10"/>
        <v>-0.21642208099365234</v>
      </c>
      <c r="AT64" s="44">
        <f t="shared" si="11"/>
        <v>-0.37881851196289062</v>
      </c>
      <c r="AU64" s="44">
        <f t="shared" si="12"/>
        <v>-1.4671363830566406</v>
      </c>
      <c r="AV64" s="44">
        <f t="shared" si="13"/>
        <v>9.4397182464599609</v>
      </c>
      <c r="AW64" s="44">
        <f t="shared" si="14"/>
        <v>8.0028266906738281</v>
      </c>
      <c r="AX64" s="44">
        <f t="shared" si="15"/>
        <v>4.5028314590454102</v>
      </c>
      <c r="AY64" s="44">
        <f t="shared" si="16"/>
        <v>5.0748319625854492</v>
      </c>
      <c r="AZ64" s="44">
        <f t="shared" si="17"/>
        <v>7.5505180358886719</v>
      </c>
      <c r="BA64" s="44"/>
      <c r="BB64" s="4" t="s">
        <v>478</v>
      </c>
      <c r="BC64" s="24" t="s">
        <v>32</v>
      </c>
      <c r="BD64" s="44" t="e">
        <f>AR64*#REF!</f>
        <v>#REF!</v>
      </c>
      <c r="BE64" s="44" t="e">
        <f>AS64*#REF!</f>
        <v>#REF!</v>
      </c>
      <c r="BF64" s="44" t="e">
        <f>AT64*#REF!</f>
        <v>#REF!</v>
      </c>
      <c r="BG64" s="44" t="e">
        <f>AU64*#REF!</f>
        <v>#REF!</v>
      </c>
      <c r="BH64" s="44" t="e">
        <f>AV64*#REF!</f>
        <v>#REF!</v>
      </c>
      <c r="BI64" s="44" t="e">
        <f>AW64*#REF!</f>
        <v>#REF!</v>
      </c>
      <c r="BJ64" s="44" t="e">
        <f>AX64*#REF!</f>
        <v>#REF!</v>
      </c>
      <c r="BK64" s="44" t="e">
        <f>AY64*#REF!</f>
        <v>#REF!</v>
      </c>
      <c r="BL64" s="44" t="e">
        <f>AZ64*#REF!</f>
        <v>#REF!</v>
      </c>
      <c r="BM64" s="44" t="e">
        <f t="shared" si="18"/>
        <v>#REF!</v>
      </c>
      <c r="BN64" s="83" t="e">
        <f t="shared" si="19"/>
        <v>#REF!</v>
      </c>
      <c r="BP64" s="87">
        <v>99.805221980142747</v>
      </c>
      <c r="BQ64" s="87">
        <v>0.97613654074782974</v>
      </c>
    </row>
    <row r="65" spans="1:69" s="25" customFormat="1" ht="18">
      <c r="A65" s="3" t="s">
        <v>276</v>
      </c>
      <c r="B65" s="3">
        <v>39</v>
      </c>
      <c r="C65" s="21">
        <v>39</v>
      </c>
      <c r="D65" s="22" t="s">
        <v>156</v>
      </c>
      <c r="E65" s="23" t="s">
        <v>328</v>
      </c>
      <c r="F65" s="3"/>
      <c r="G65" s="3"/>
      <c r="H65" s="4" t="s">
        <v>479</v>
      </c>
      <c r="I65" s="24" t="s">
        <v>32</v>
      </c>
      <c r="J65" s="24">
        <v>78</v>
      </c>
      <c r="K65" s="24" t="s">
        <v>118</v>
      </c>
      <c r="L65" s="35">
        <v>20210324</v>
      </c>
      <c r="M65" s="3"/>
      <c r="N65" s="3"/>
      <c r="O65" s="3">
        <v>43.2</v>
      </c>
      <c r="P65" s="3">
        <v>1.35</v>
      </c>
      <c r="Q65" s="3">
        <v>0.47</v>
      </c>
      <c r="R65" s="3">
        <v>30</v>
      </c>
      <c r="S65" s="3">
        <v>1295.9000000000001</v>
      </c>
      <c r="T65" s="39">
        <v>27.040487289428711</v>
      </c>
      <c r="U65" s="39">
        <v>26.950830459594727</v>
      </c>
      <c r="V65" s="39">
        <v>25.875887870788574</v>
      </c>
      <c r="W65" s="39">
        <v>26.898736000061035</v>
      </c>
      <c r="X65" s="39">
        <v>26.152729988098145</v>
      </c>
      <c r="Y65" s="39">
        <v>25.984131813049316</v>
      </c>
      <c r="Z65" s="39">
        <v>25.566971778869629</v>
      </c>
      <c r="AA65" s="39">
        <v>26.499512672424316</v>
      </c>
      <c r="AB65" s="39">
        <v>38.006902694702148</v>
      </c>
      <c r="AC65" s="39">
        <v>28.767959594726562</v>
      </c>
      <c r="AD65" s="39">
        <v>33.950174331665039</v>
      </c>
      <c r="AE65" s="39">
        <v>27.007255554199219</v>
      </c>
      <c r="AF65" s="39">
        <v>31.411953926086426</v>
      </c>
      <c r="AG65" s="39">
        <v>26.969813346862793</v>
      </c>
      <c r="AH65" s="39">
        <v>31.334027290344238</v>
      </c>
      <c r="AI65" s="39">
        <v>26.991971015930176</v>
      </c>
      <c r="AJ65" s="39">
        <v>33.639471054077148</v>
      </c>
      <c r="AK65" s="39">
        <v>27.017863273620605</v>
      </c>
      <c r="AL65" s="24" t="s">
        <v>32</v>
      </c>
      <c r="AM65" s="68">
        <f t="shared" si="20"/>
        <v>99.728241702120926</v>
      </c>
      <c r="AP65" s="4" t="s">
        <v>479</v>
      </c>
      <c r="AQ65" s="24" t="s">
        <v>32</v>
      </c>
      <c r="AR65" s="44">
        <f t="shared" si="9"/>
        <v>8.9656829833984375E-2</v>
      </c>
      <c r="AS65" s="44">
        <f t="shared" si="10"/>
        <v>-1.0228481292724609</v>
      </c>
      <c r="AT65" s="44">
        <f t="shared" si="11"/>
        <v>0.16859817504882812</v>
      </c>
      <c r="AU65" s="44">
        <f t="shared" si="12"/>
        <v>-0.9325408935546875</v>
      </c>
      <c r="AV65" s="44">
        <f t="shared" si="13"/>
        <v>9.2389430999755859</v>
      </c>
      <c r="AW65" s="44">
        <f t="shared" si="14"/>
        <v>6.9429187774658203</v>
      </c>
      <c r="AX65" s="44">
        <f t="shared" si="15"/>
        <v>4.4421405792236328</v>
      </c>
      <c r="AY65" s="44">
        <f t="shared" si="16"/>
        <v>4.3420562744140625</v>
      </c>
      <c r="AZ65" s="44">
        <f t="shared" si="17"/>
        <v>6.621607780456543</v>
      </c>
      <c r="BA65" s="44"/>
      <c r="BB65" s="4" t="s">
        <v>479</v>
      </c>
      <c r="BC65" s="24" t="s">
        <v>32</v>
      </c>
      <c r="BD65" s="44" t="e">
        <f>AR65*#REF!</f>
        <v>#REF!</v>
      </c>
      <c r="BE65" s="44" t="e">
        <f>AS65*#REF!</f>
        <v>#REF!</v>
      </c>
      <c r="BF65" s="44" t="e">
        <f>AT65*#REF!</f>
        <v>#REF!</v>
      </c>
      <c r="BG65" s="44" t="e">
        <f>AU65*#REF!</f>
        <v>#REF!</v>
      </c>
      <c r="BH65" s="44" t="e">
        <f>AV65*#REF!</f>
        <v>#REF!</v>
      </c>
      <c r="BI65" s="44" t="e">
        <f>AW65*#REF!</f>
        <v>#REF!</v>
      </c>
      <c r="BJ65" s="44" t="e">
        <f>AX65*#REF!</f>
        <v>#REF!</v>
      </c>
      <c r="BK65" s="44" t="e">
        <f>AY65*#REF!</f>
        <v>#REF!</v>
      </c>
      <c r="BL65" s="44" t="e">
        <f>AZ65*#REF!</f>
        <v>#REF!</v>
      </c>
      <c r="BM65" s="44" t="e">
        <f t="shared" si="18"/>
        <v>#REF!</v>
      </c>
      <c r="BN65" s="83" t="e">
        <f t="shared" si="19"/>
        <v>#REF!</v>
      </c>
      <c r="BP65" s="87">
        <v>99.728241702120926</v>
      </c>
      <c r="BQ65" s="87">
        <v>0.98278343317912042</v>
      </c>
    </row>
    <row r="66" spans="1:69" s="25" customFormat="1" ht="18">
      <c r="A66" s="3" t="s">
        <v>276</v>
      </c>
      <c r="B66" s="3">
        <v>40</v>
      </c>
      <c r="C66" s="21">
        <v>40</v>
      </c>
      <c r="D66" s="22" t="s">
        <v>157</v>
      </c>
      <c r="E66" s="23" t="s">
        <v>329</v>
      </c>
      <c r="F66" s="3"/>
      <c r="G66" s="3"/>
      <c r="H66" s="4" t="s">
        <v>480</v>
      </c>
      <c r="I66" s="24" t="s">
        <v>32</v>
      </c>
      <c r="J66" s="24">
        <v>79</v>
      </c>
      <c r="K66" s="24" t="s">
        <v>118</v>
      </c>
      <c r="L66" s="35">
        <v>20201123</v>
      </c>
      <c r="M66" s="3"/>
      <c r="N66" s="3"/>
      <c r="O66" s="3">
        <v>24.44</v>
      </c>
      <c r="P66" s="3">
        <v>1.28</v>
      </c>
      <c r="Q66" s="3">
        <v>0.45</v>
      </c>
      <c r="R66" s="3">
        <v>30</v>
      </c>
      <c r="S66" s="3">
        <v>733.1</v>
      </c>
      <c r="T66" s="39">
        <v>25.181882858276367</v>
      </c>
      <c r="U66" s="39">
        <v>24.917843818664551</v>
      </c>
      <c r="V66" s="39">
        <v>24.54371452331543</v>
      </c>
      <c r="W66" s="39">
        <v>24.904994964599609</v>
      </c>
      <c r="X66" s="39">
        <v>23.265520095825195</v>
      </c>
      <c r="Y66" s="39">
        <v>23.925862312316895</v>
      </c>
      <c r="Z66" s="39">
        <v>24.040387153625488</v>
      </c>
      <c r="AA66" s="39">
        <v>24.518239974975586</v>
      </c>
      <c r="AB66" s="39">
        <v>37.386938095092773</v>
      </c>
      <c r="AC66" s="39">
        <v>26.594034194946289</v>
      </c>
      <c r="AD66" s="39">
        <v>31.995600700378418</v>
      </c>
      <c r="AE66" s="39">
        <v>24.965904235839844</v>
      </c>
      <c r="AF66" s="39">
        <v>30.579924583435059</v>
      </c>
      <c r="AG66" s="39">
        <v>24.945425033569336</v>
      </c>
      <c r="AH66" s="39">
        <v>29.462709426879883</v>
      </c>
      <c r="AI66" s="39">
        <v>24.98065185546875</v>
      </c>
      <c r="AJ66" s="39">
        <v>32.668100357055664</v>
      </c>
      <c r="AK66" s="39">
        <v>25.025562286376953</v>
      </c>
      <c r="AL66" s="24" t="s">
        <v>32</v>
      </c>
      <c r="AM66" s="68">
        <f t="shared" si="20"/>
        <v>96.515134947248384</v>
      </c>
      <c r="AP66" s="4" t="s">
        <v>480</v>
      </c>
      <c r="AQ66" s="24" t="s">
        <v>32</v>
      </c>
      <c r="AR66" s="44">
        <f t="shared" si="9"/>
        <v>0.26403903961181641</v>
      </c>
      <c r="AS66" s="44">
        <f t="shared" si="10"/>
        <v>-0.36128044128417969</v>
      </c>
      <c r="AT66" s="44">
        <f t="shared" si="11"/>
        <v>-0.66034221649169922</v>
      </c>
      <c r="AU66" s="44">
        <f t="shared" si="12"/>
        <v>-0.47785282135009766</v>
      </c>
      <c r="AV66" s="44">
        <f t="shared" si="13"/>
        <v>10.792903900146484</v>
      </c>
      <c r="AW66" s="44">
        <f t="shared" si="14"/>
        <v>7.0296964645385742</v>
      </c>
      <c r="AX66" s="44">
        <f t="shared" si="15"/>
        <v>5.6344995498657227</v>
      </c>
      <c r="AY66" s="44">
        <f t="shared" si="16"/>
        <v>4.4820575714111328</v>
      </c>
      <c r="AZ66" s="44">
        <f t="shared" si="17"/>
        <v>7.6425380706787109</v>
      </c>
      <c r="BA66" s="44"/>
      <c r="BB66" s="4" t="s">
        <v>480</v>
      </c>
      <c r="BC66" s="24" t="s">
        <v>32</v>
      </c>
      <c r="BD66" s="44" t="e">
        <f>AR66*#REF!</f>
        <v>#REF!</v>
      </c>
      <c r="BE66" s="44" t="e">
        <f>AS66*#REF!</f>
        <v>#REF!</v>
      </c>
      <c r="BF66" s="44" t="e">
        <f>AT66*#REF!</f>
        <v>#REF!</v>
      </c>
      <c r="BG66" s="44" t="e">
        <f>AU66*#REF!</f>
        <v>#REF!</v>
      </c>
      <c r="BH66" s="44" t="e">
        <f>AV66*#REF!</f>
        <v>#REF!</v>
      </c>
      <c r="BI66" s="44" t="e">
        <f>AW66*#REF!</f>
        <v>#REF!</v>
      </c>
      <c r="BJ66" s="44" t="e">
        <f>AX66*#REF!</f>
        <v>#REF!</v>
      </c>
      <c r="BK66" s="44" t="e">
        <f>AY66*#REF!</f>
        <v>#REF!</v>
      </c>
      <c r="BL66" s="44" t="e">
        <f>AZ66*#REF!</f>
        <v>#REF!</v>
      </c>
      <c r="BM66" s="44" t="e">
        <f t="shared" si="18"/>
        <v>#REF!</v>
      </c>
      <c r="BN66" s="83" t="e">
        <f t="shared" si="19"/>
        <v>#REF!</v>
      </c>
      <c r="BP66" s="87">
        <v>96.515134947248384</v>
      </c>
      <c r="BQ66" s="87">
        <v>0.94333406267361541</v>
      </c>
    </row>
    <row r="67" spans="1:69" s="25" customFormat="1" ht="18">
      <c r="A67" s="3" t="s">
        <v>276</v>
      </c>
      <c r="B67" s="3">
        <v>41</v>
      </c>
      <c r="C67" s="21">
        <v>41</v>
      </c>
      <c r="D67" s="22" t="s">
        <v>158</v>
      </c>
      <c r="E67" s="23" t="s">
        <v>330</v>
      </c>
      <c r="F67" s="3"/>
      <c r="G67" s="3"/>
      <c r="H67" s="4" t="s">
        <v>481</v>
      </c>
      <c r="I67" s="24" t="s">
        <v>32</v>
      </c>
      <c r="J67" s="24">
        <v>79</v>
      </c>
      <c r="K67" s="24" t="s">
        <v>118</v>
      </c>
      <c r="L67" s="35"/>
      <c r="M67" s="3"/>
      <c r="N67" s="3"/>
      <c r="O67" s="3">
        <v>20.82</v>
      </c>
      <c r="P67" s="3">
        <v>1.27</v>
      </c>
      <c r="Q67" s="3">
        <v>0.45</v>
      </c>
      <c r="R67" s="3">
        <v>30</v>
      </c>
      <c r="S67" s="3">
        <v>624.5</v>
      </c>
      <c r="T67" s="39">
        <v>26.634117126464844</v>
      </c>
      <c r="U67" s="39">
        <v>26.947179794311523</v>
      </c>
      <c r="V67" s="39">
        <v>25.691093444824219</v>
      </c>
      <c r="W67" s="39">
        <v>26.844820022583008</v>
      </c>
      <c r="X67" s="39">
        <v>24.844274520874023</v>
      </c>
      <c r="Y67" s="39">
        <v>25.99407958984375</v>
      </c>
      <c r="Z67" s="39">
        <v>25.384274482727051</v>
      </c>
      <c r="AA67" s="39">
        <v>26.510470390319824</v>
      </c>
      <c r="AB67" s="39">
        <v>37.611684799194336</v>
      </c>
      <c r="AC67" s="39">
        <v>29.191937446594238</v>
      </c>
      <c r="AD67" s="39">
        <v>33.670202255249023</v>
      </c>
      <c r="AE67" s="39">
        <v>26.94694995880127</v>
      </c>
      <c r="AF67" s="39">
        <v>31.099947929382324</v>
      </c>
      <c r="AG67" s="39">
        <v>26.956859588623047</v>
      </c>
      <c r="AH67" s="39">
        <v>30.63623046875</v>
      </c>
      <c r="AI67" s="39">
        <v>26.921858787536621</v>
      </c>
      <c r="AJ67" s="39">
        <v>33.35406494140625</v>
      </c>
      <c r="AK67" s="39">
        <v>26.903937339782715</v>
      </c>
      <c r="AL67" s="24" t="s">
        <v>32</v>
      </c>
      <c r="AM67" s="68">
        <f t="shared" ref="AM67:AM130" si="21">1/(1+EXP(-(16.9812 +0.5694*(T67-U67) -0.3622*(AB67-AC67)-1.8146*(AF67-AG67)+0.0423*(AJ67-AK67))))*100</f>
        <v>99.851091302751243</v>
      </c>
      <c r="AP67" s="4" t="s">
        <v>481</v>
      </c>
      <c r="AQ67" s="24" t="s">
        <v>32</v>
      </c>
      <c r="AR67" s="44">
        <f t="shared" ref="AR67:AR130" si="22">T67-U67</f>
        <v>-0.31306266784667969</v>
      </c>
      <c r="AS67" s="44">
        <f t="shared" ref="AS67:AS130" si="23">V67-W67</f>
        <v>-1.1537265777587891</v>
      </c>
      <c r="AT67" s="44">
        <f t="shared" ref="AT67:AT130" si="24">X67-Y67</f>
        <v>-1.1498050689697266</v>
      </c>
      <c r="AU67" s="44">
        <f t="shared" ref="AU67:AU130" si="25">Z67-AA67</f>
        <v>-1.1261959075927734</v>
      </c>
      <c r="AV67" s="44">
        <f t="shared" ref="AV67:AV130" si="26">AB67-AC67</f>
        <v>8.4197473526000977</v>
      </c>
      <c r="AW67" s="44">
        <f t="shared" ref="AW67:AW130" si="27">AD67-AE67</f>
        <v>6.7232522964477539</v>
      </c>
      <c r="AX67" s="44">
        <f t="shared" ref="AX67:AX130" si="28">AF67-AG67</f>
        <v>4.1430883407592773</v>
      </c>
      <c r="AY67" s="44">
        <f t="shared" ref="AY67:AY130" si="29">AH67-AI67</f>
        <v>3.7143716812133789</v>
      </c>
      <c r="AZ67" s="44">
        <f t="shared" ref="AZ67:AZ130" si="30">AJ67-AK67</f>
        <v>6.4501276016235352</v>
      </c>
      <c r="BA67" s="44"/>
      <c r="BB67" s="4" t="s">
        <v>481</v>
      </c>
      <c r="BC67" s="24" t="s">
        <v>32</v>
      </c>
      <c r="BD67" s="44" t="e">
        <f>AR67*#REF!</f>
        <v>#REF!</v>
      </c>
      <c r="BE67" s="44" t="e">
        <f>AS67*#REF!</f>
        <v>#REF!</v>
      </c>
      <c r="BF67" s="44" t="e">
        <f>AT67*#REF!</f>
        <v>#REF!</v>
      </c>
      <c r="BG67" s="44" t="e">
        <f>AU67*#REF!</f>
        <v>#REF!</v>
      </c>
      <c r="BH67" s="44" t="e">
        <f>AV67*#REF!</f>
        <v>#REF!</v>
      </c>
      <c r="BI67" s="44" t="e">
        <f>AW67*#REF!</f>
        <v>#REF!</v>
      </c>
      <c r="BJ67" s="44" t="e">
        <f>AX67*#REF!</f>
        <v>#REF!</v>
      </c>
      <c r="BK67" s="44" t="e">
        <f>AY67*#REF!</f>
        <v>#REF!</v>
      </c>
      <c r="BL67" s="44" t="e">
        <f>AZ67*#REF!</f>
        <v>#REF!</v>
      </c>
      <c r="BM67" s="44" t="e">
        <f t="shared" ref="BM67:BM130" si="31">SUM(BD67:BL67)+13.0716</f>
        <v>#REF!</v>
      </c>
      <c r="BN67" s="83" t="e">
        <f t="shared" ref="BN67:BN130" si="32">1/(1+EXP(-BM67))</f>
        <v>#REF!</v>
      </c>
      <c r="BP67" s="87">
        <v>99.851091302751243</v>
      </c>
      <c r="BQ67" s="87">
        <v>0.99374972410528184</v>
      </c>
    </row>
    <row r="68" spans="1:69" s="25" customFormat="1" ht="18">
      <c r="A68" s="3" t="s">
        <v>276</v>
      </c>
      <c r="B68" s="3">
        <v>42</v>
      </c>
      <c r="C68" s="21">
        <v>42</v>
      </c>
      <c r="D68" s="22" t="s">
        <v>159</v>
      </c>
      <c r="E68" s="23" t="s">
        <v>331</v>
      </c>
      <c r="F68" s="3"/>
      <c r="G68" s="3"/>
      <c r="H68" s="4" t="s">
        <v>482</v>
      </c>
      <c r="I68" s="24" t="s">
        <v>32</v>
      </c>
      <c r="J68" s="24">
        <v>79</v>
      </c>
      <c r="K68" s="24" t="s">
        <v>118</v>
      </c>
      <c r="L68" s="35">
        <v>20201104</v>
      </c>
      <c r="M68" s="3"/>
      <c r="N68" s="3"/>
      <c r="O68" s="3">
        <v>33.630000000000003</v>
      </c>
      <c r="P68" s="3">
        <v>1.3</v>
      </c>
      <c r="Q68" s="3">
        <v>0.47</v>
      </c>
      <c r="R68" s="3">
        <v>30</v>
      </c>
      <c r="S68" s="3">
        <v>1008.8</v>
      </c>
      <c r="T68" s="39">
        <v>24.937376976013184</v>
      </c>
      <c r="U68" s="39">
        <v>26.016288757324219</v>
      </c>
      <c r="V68" s="39">
        <v>24.131230354309082</v>
      </c>
      <c r="W68" s="39">
        <v>25.963101387023926</v>
      </c>
      <c r="X68" s="39">
        <v>24.589537620544434</v>
      </c>
      <c r="Y68" s="39">
        <v>25.314987182617188</v>
      </c>
      <c r="Z68" s="39">
        <v>25.019026756286621</v>
      </c>
      <c r="AA68" s="39">
        <v>25.803528785705566</v>
      </c>
      <c r="AB68" s="39">
        <v>36.741716384887695</v>
      </c>
      <c r="AC68" s="39">
        <v>28.346531867980957</v>
      </c>
      <c r="AD68" s="39">
        <v>31.562961578369141</v>
      </c>
      <c r="AE68" s="39">
        <v>26.116565704345703</v>
      </c>
      <c r="AF68" s="39">
        <v>31.27101993560791</v>
      </c>
      <c r="AG68" s="39">
        <v>26.158647537231445</v>
      </c>
      <c r="AH68" s="39">
        <v>28.53412914276123</v>
      </c>
      <c r="AI68" s="39">
        <v>25.874367713928223</v>
      </c>
      <c r="AJ68" s="39">
        <v>32.658376693725586</v>
      </c>
      <c r="AK68" s="39">
        <v>26.029900550842285</v>
      </c>
      <c r="AL68" s="24" t="s">
        <v>32</v>
      </c>
      <c r="AM68" s="68">
        <f t="shared" si="21"/>
        <v>98.699852056006364</v>
      </c>
      <c r="AP68" s="4" t="s">
        <v>482</v>
      </c>
      <c r="AQ68" s="24" t="s">
        <v>32</v>
      </c>
      <c r="AR68" s="44">
        <f t="shared" si="22"/>
        <v>-1.0789117813110352</v>
      </c>
      <c r="AS68" s="44">
        <f t="shared" si="23"/>
        <v>-1.8318710327148438</v>
      </c>
      <c r="AT68" s="44">
        <f t="shared" si="24"/>
        <v>-0.72544956207275391</v>
      </c>
      <c r="AU68" s="44">
        <f t="shared" si="25"/>
        <v>-0.78450202941894531</v>
      </c>
      <c r="AV68" s="44">
        <f t="shared" si="26"/>
        <v>8.3951845169067383</v>
      </c>
      <c r="AW68" s="44">
        <f t="shared" si="27"/>
        <v>5.4463958740234375</v>
      </c>
      <c r="AX68" s="44">
        <f t="shared" si="28"/>
        <v>5.1123723983764648</v>
      </c>
      <c r="AY68" s="44">
        <f t="shared" si="29"/>
        <v>2.6597614288330078</v>
      </c>
      <c r="AZ68" s="44">
        <f t="shared" si="30"/>
        <v>6.6284761428833008</v>
      </c>
      <c r="BA68" s="44"/>
      <c r="BB68" s="4" t="s">
        <v>482</v>
      </c>
      <c r="BC68" s="24" t="s">
        <v>32</v>
      </c>
      <c r="BD68" s="44" t="e">
        <f>AR68*#REF!</f>
        <v>#REF!</v>
      </c>
      <c r="BE68" s="44" t="e">
        <f>AS68*#REF!</f>
        <v>#REF!</v>
      </c>
      <c r="BF68" s="44" t="e">
        <f>AT68*#REF!</f>
        <v>#REF!</v>
      </c>
      <c r="BG68" s="44" t="e">
        <f>AU68*#REF!</f>
        <v>#REF!</v>
      </c>
      <c r="BH68" s="44" t="e">
        <f>AV68*#REF!</f>
        <v>#REF!</v>
      </c>
      <c r="BI68" s="44" t="e">
        <f>AW68*#REF!</f>
        <v>#REF!</v>
      </c>
      <c r="BJ68" s="44" t="e">
        <f>AX68*#REF!</f>
        <v>#REF!</v>
      </c>
      <c r="BK68" s="44" t="e">
        <f>AY68*#REF!</f>
        <v>#REF!</v>
      </c>
      <c r="BL68" s="44" t="e">
        <f>AZ68*#REF!</f>
        <v>#REF!</v>
      </c>
      <c r="BM68" s="44" t="e">
        <f t="shared" si="31"/>
        <v>#REF!</v>
      </c>
      <c r="BN68" s="83" t="e">
        <f t="shared" si="32"/>
        <v>#REF!</v>
      </c>
      <c r="BP68" s="87">
        <v>98.699852056006364</v>
      </c>
      <c r="BQ68" s="87">
        <v>0.99036800194903729</v>
      </c>
    </row>
    <row r="69" spans="1:69" s="25" customFormat="1" ht="18">
      <c r="A69" s="3" t="s">
        <v>276</v>
      </c>
      <c r="B69" s="3">
        <v>43</v>
      </c>
      <c r="C69" s="21">
        <v>43</v>
      </c>
      <c r="D69" s="22" t="s">
        <v>160</v>
      </c>
      <c r="E69" s="23" t="s">
        <v>332</v>
      </c>
      <c r="F69" s="3"/>
      <c r="G69" s="3"/>
      <c r="H69" s="4" t="s">
        <v>483</v>
      </c>
      <c r="I69" s="24" t="s">
        <v>32</v>
      </c>
      <c r="J69" s="24">
        <v>79</v>
      </c>
      <c r="K69" s="24" t="s">
        <v>118</v>
      </c>
      <c r="L69" s="35">
        <v>20190306</v>
      </c>
      <c r="M69" s="3"/>
      <c r="N69" s="3"/>
      <c r="O69" s="3">
        <v>23.91</v>
      </c>
      <c r="P69" s="3">
        <v>1.26</v>
      </c>
      <c r="Q69" s="3">
        <v>0.44</v>
      </c>
      <c r="R69" s="3">
        <v>30</v>
      </c>
      <c r="S69" s="3">
        <v>717.2</v>
      </c>
      <c r="T69" s="39">
        <v>29.133338928222656</v>
      </c>
      <c r="U69" s="39">
        <v>27.3397216796875</v>
      </c>
      <c r="V69" s="39">
        <v>26.698147773742676</v>
      </c>
      <c r="W69" s="39">
        <v>27.242260932922363</v>
      </c>
      <c r="X69" s="39">
        <v>26.608391761779785</v>
      </c>
      <c r="Y69" s="39">
        <v>26.39357852935791</v>
      </c>
      <c r="Z69" s="39">
        <v>27.647564888000488</v>
      </c>
      <c r="AA69" s="39">
        <v>27.172492027282715</v>
      </c>
      <c r="AB69" s="39">
        <v>39.732629776000977</v>
      </c>
      <c r="AC69" s="39">
        <v>29.591161727905273</v>
      </c>
      <c r="AD69" s="39">
        <v>36.511615753173828</v>
      </c>
      <c r="AE69" s="39">
        <v>27.295108795166016</v>
      </c>
      <c r="AF69" s="39">
        <v>34.613740921020508</v>
      </c>
      <c r="AG69" s="39">
        <v>27.317411422729492</v>
      </c>
      <c r="AH69" s="39">
        <v>33.212806701660156</v>
      </c>
      <c r="AI69" s="39">
        <v>27.420886039733887</v>
      </c>
      <c r="AJ69" s="39">
        <v>35.954822540283203</v>
      </c>
      <c r="AK69" s="39">
        <v>27.163358688354492</v>
      </c>
      <c r="AL69" s="24" t="s">
        <v>32</v>
      </c>
      <c r="AM69" s="68">
        <f t="shared" si="21"/>
        <v>81.171696034131756</v>
      </c>
      <c r="AP69" s="4" t="s">
        <v>483</v>
      </c>
      <c r="AQ69" s="24" t="s">
        <v>32</v>
      </c>
      <c r="AR69" s="44">
        <f t="shared" si="22"/>
        <v>1.7936172485351562</v>
      </c>
      <c r="AS69" s="44">
        <f t="shared" si="23"/>
        <v>-0.5441131591796875</v>
      </c>
      <c r="AT69" s="44">
        <f t="shared" si="24"/>
        <v>0.214813232421875</v>
      </c>
      <c r="AU69" s="44">
        <f t="shared" si="25"/>
        <v>0.47507286071777344</v>
      </c>
      <c r="AV69" s="44">
        <f t="shared" si="26"/>
        <v>10.141468048095703</v>
      </c>
      <c r="AW69" s="44">
        <f t="shared" si="27"/>
        <v>9.2165069580078125</v>
      </c>
      <c r="AX69" s="44">
        <f t="shared" si="28"/>
        <v>7.2963294982910156</v>
      </c>
      <c r="AY69" s="44">
        <f t="shared" si="29"/>
        <v>5.7919206619262695</v>
      </c>
      <c r="AZ69" s="44">
        <f t="shared" si="30"/>
        <v>8.7914638519287109</v>
      </c>
      <c r="BA69" s="44"/>
      <c r="BB69" s="4" t="s">
        <v>483</v>
      </c>
      <c r="BC69" s="24" t="s">
        <v>32</v>
      </c>
      <c r="BD69" s="44" t="e">
        <f>AR69*#REF!</f>
        <v>#REF!</v>
      </c>
      <c r="BE69" s="44" t="e">
        <f>AS69*#REF!</f>
        <v>#REF!</v>
      </c>
      <c r="BF69" s="44" t="e">
        <f>AT69*#REF!</f>
        <v>#REF!</v>
      </c>
      <c r="BG69" s="44" t="e">
        <f>AU69*#REF!</f>
        <v>#REF!</v>
      </c>
      <c r="BH69" s="44" t="e">
        <f>AV69*#REF!</f>
        <v>#REF!</v>
      </c>
      <c r="BI69" s="44" t="e">
        <f>AW69*#REF!</f>
        <v>#REF!</v>
      </c>
      <c r="BJ69" s="44" t="e">
        <f>AX69*#REF!</f>
        <v>#REF!</v>
      </c>
      <c r="BK69" s="44" t="e">
        <f>AY69*#REF!</f>
        <v>#REF!</v>
      </c>
      <c r="BL69" s="44" t="e">
        <f>AZ69*#REF!</f>
        <v>#REF!</v>
      </c>
      <c r="BM69" s="44" t="e">
        <f t="shared" si="31"/>
        <v>#REF!</v>
      </c>
      <c r="BN69" s="83" t="e">
        <f t="shared" si="32"/>
        <v>#REF!</v>
      </c>
      <c r="BP69" s="87">
        <v>81.171696034131756</v>
      </c>
      <c r="BQ69" s="87">
        <v>0.83538808783682539</v>
      </c>
    </row>
    <row r="70" spans="1:69" s="25" customFormat="1" ht="18">
      <c r="A70" s="3" t="s">
        <v>276</v>
      </c>
      <c r="B70" s="3">
        <v>44</v>
      </c>
      <c r="C70" s="21">
        <v>44</v>
      </c>
      <c r="D70" s="22" t="s">
        <v>161</v>
      </c>
      <c r="E70" s="23" t="s">
        <v>333</v>
      </c>
      <c r="F70" s="3"/>
      <c r="G70" s="3"/>
      <c r="H70" s="4" t="s">
        <v>484</v>
      </c>
      <c r="I70" s="24" t="s">
        <v>32</v>
      </c>
      <c r="J70" s="24">
        <v>79</v>
      </c>
      <c r="K70" s="24" t="s">
        <v>118</v>
      </c>
      <c r="L70" s="35"/>
      <c r="M70" s="3"/>
      <c r="N70" s="3"/>
      <c r="O70" s="3">
        <v>22.42</v>
      </c>
      <c r="P70" s="3">
        <v>1.26</v>
      </c>
      <c r="Q70" s="3">
        <v>0.44</v>
      </c>
      <c r="R70" s="3">
        <v>30</v>
      </c>
      <c r="S70" s="3">
        <v>672.5</v>
      </c>
      <c r="T70" s="39">
        <v>25.414676666259766</v>
      </c>
      <c r="U70" s="39">
        <v>25.679874420166016</v>
      </c>
      <c r="V70" s="39">
        <v>22.428065299987793</v>
      </c>
      <c r="W70" s="39">
        <v>25.192290306091309</v>
      </c>
      <c r="X70" s="39">
        <v>24.506311416625977</v>
      </c>
      <c r="Y70" s="39">
        <v>24.734127998352051</v>
      </c>
      <c r="Z70" s="39">
        <v>25.929472923278809</v>
      </c>
      <c r="AA70" s="39">
        <v>25.617541313171387</v>
      </c>
      <c r="AB70" s="39">
        <v>39.608434677124023</v>
      </c>
      <c r="AC70" s="39">
        <v>27.793721199035645</v>
      </c>
      <c r="AD70" s="39">
        <v>32.673654556274414</v>
      </c>
      <c r="AE70" s="39">
        <v>25.723370552062988</v>
      </c>
      <c r="AF70" s="39">
        <v>32.136770248413086</v>
      </c>
      <c r="AG70" s="39">
        <v>25.804987907409668</v>
      </c>
      <c r="AH70" s="39">
        <v>29.615959167480469</v>
      </c>
      <c r="AI70" s="39">
        <v>25.653286933898926</v>
      </c>
      <c r="AJ70" s="39">
        <v>33.11561393737793</v>
      </c>
      <c r="AK70" s="39">
        <v>25.649614334106445</v>
      </c>
      <c r="AL70" s="24" t="s">
        <v>32</v>
      </c>
      <c r="AM70" s="68">
        <f t="shared" si="21"/>
        <v>79.851949014735908</v>
      </c>
      <c r="AP70" s="4" t="s">
        <v>484</v>
      </c>
      <c r="AQ70" s="24" t="s">
        <v>32</v>
      </c>
      <c r="AR70" s="44">
        <f t="shared" si="22"/>
        <v>-0.26519775390625</v>
      </c>
      <c r="AS70" s="44">
        <f t="shared" si="23"/>
        <v>-2.7642250061035156</v>
      </c>
      <c r="AT70" s="44">
        <f t="shared" si="24"/>
        <v>-0.22781658172607422</v>
      </c>
      <c r="AU70" s="44">
        <f t="shared" si="25"/>
        <v>0.31193161010742188</v>
      </c>
      <c r="AV70" s="44">
        <f t="shared" si="26"/>
        <v>11.814713478088379</v>
      </c>
      <c r="AW70" s="44">
        <f t="shared" si="27"/>
        <v>6.9502840042114258</v>
      </c>
      <c r="AX70" s="44">
        <f t="shared" si="28"/>
        <v>6.331782341003418</v>
      </c>
      <c r="AY70" s="44">
        <f t="shared" si="29"/>
        <v>3.962672233581543</v>
      </c>
      <c r="AZ70" s="44">
        <f t="shared" si="30"/>
        <v>7.4659996032714844</v>
      </c>
      <c r="BA70" s="44"/>
      <c r="BB70" s="4" t="s">
        <v>484</v>
      </c>
      <c r="BC70" s="24" t="s">
        <v>32</v>
      </c>
      <c r="BD70" s="44" t="e">
        <f>AR70*#REF!</f>
        <v>#REF!</v>
      </c>
      <c r="BE70" s="44" t="e">
        <f>AS70*#REF!</f>
        <v>#REF!</v>
      </c>
      <c r="BF70" s="44" t="e">
        <f>AT70*#REF!</f>
        <v>#REF!</v>
      </c>
      <c r="BG70" s="44" t="e">
        <f>AU70*#REF!</f>
        <v>#REF!</v>
      </c>
      <c r="BH70" s="44" t="e">
        <f>AV70*#REF!</f>
        <v>#REF!</v>
      </c>
      <c r="BI70" s="44" t="e">
        <f>AW70*#REF!</f>
        <v>#REF!</v>
      </c>
      <c r="BJ70" s="44" t="e">
        <f>AX70*#REF!</f>
        <v>#REF!</v>
      </c>
      <c r="BK70" s="44" t="e">
        <f>AY70*#REF!</f>
        <v>#REF!</v>
      </c>
      <c r="BL70" s="44" t="e">
        <f>AZ70*#REF!</f>
        <v>#REF!</v>
      </c>
      <c r="BM70" s="44" t="e">
        <f t="shared" si="31"/>
        <v>#REF!</v>
      </c>
      <c r="BN70" s="83" t="e">
        <f t="shared" si="32"/>
        <v>#REF!</v>
      </c>
      <c r="BP70" s="87">
        <v>79.851949014735908</v>
      </c>
      <c r="BQ70" s="87">
        <v>0.903606054906818</v>
      </c>
    </row>
    <row r="71" spans="1:69" s="25" customFormat="1" ht="18">
      <c r="A71" s="3" t="s">
        <v>276</v>
      </c>
      <c r="B71" s="3">
        <v>45</v>
      </c>
      <c r="C71" s="21">
        <v>45</v>
      </c>
      <c r="D71" s="22" t="s">
        <v>162</v>
      </c>
      <c r="E71" s="23" t="s">
        <v>334</v>
      </c>
      <c r="F71" s="3"/>
      <c r="G71" s="3"/>
      <c r="H71" s="4" t="s">
        <v>439</v>
      </c>
      <c r="I71" s="24" t="s">
        <v>32</v>
      </c>
      <c r="J71" s="24">
        <v>80</v>
      </c>
      <c r="K71" s="24" t="s">
        <v>118</v>
      </c>
      <c r="L71" s="35">
        <v>20200915</v>
      </c>
      <c r="M71" s="3"/>
      <c r="N71" s="3"/>
      <c r="O71" s="3">
        <v>21.2</v>
      </c>
      <c r="P71" s="3">
        <v>1.28</v>
      </c>
      <c r="Q71" s="3">
        <v>0.44</v>
      </c>
      <c r="R71" s="3">
        <v>30</v>
      </c>
      <c r="S71" s="3">
        <v>636</v>
      </c>
      <c r="T71" s="39">
        <v>26.643459320068359</v>
      </c>
      <c r="U71" s="39">
        <v>27.459938049316406</v>
      </c>
      <c r="V71" s="39">
        <v>25.761967658996582</v>
      </c>
      <c r="W71" s="39">
        <v>27.361462593078613</v>
      </c>
      <c r="X71" s="39">
        <v>25.795449256896973</v>
      </c>
      <c r="Y71" s="39">
        <v>26.579165458679199</v>
      </c>
      <c r="Z71" s="39">
        <v>26.218052864074707</v>
      </c>
      <c r="AA71" s="39">
        <v>27.064212799072266</v>
      </c>
      <c r="AB71" s="39">
        <v>37.577608108520508</v>
      </c>
      <c r="AC71" s="39">
        <v>29.700656890869141</v>
      </c>
      <c r="AD71" s="39">
        <v>33.586244583129883</v>
      </c>
      <c r="AE71" s="39">
        <v>27.459466934204102</v>
      </c>
      <c r="AF71" s="39">
        <v>32.138925552368164</v>
      </c>
      <c r="AG71" s="39">
        <v>27.518471717834473</v>
      </c>
      <c r="AH71" s="39">
        <v>30.663676261901855</v>
      </c>
      <c r="AI71" s="39">
        <v>27.378620147705078</v>
      </c>
      <c r="AJ71" s="39">
        <v>33.083700180053711</v>
      </c>
      <c r="AK71" s="39">
        <v>27.527919769287109</v>
      </c>
      <c r="AL71" s="24" t="s">
        <v>32</v>
      </c>
      <c r="AM71" s="68">
        <f t="shared" si="21"/>
        <v>99.598621713093806</v>
      </c>
      <c r="AP71" s="4" t="s">
        <v>439</v>
      </c>
      <c r="AQ71" s="24" t="s">
        <v>32</v>
      </c>
      <c r="AR71" s="44">
        <f t="shared" si="22"/>
        <v>-0.81647872924804688</v>
      </c>
      <c r="AS71" s="44">
        <f t="shared" si="23"/>
        <v>-1.5994949340820312</v>
      </c>
      <c r="AT71" s="44">
        <f t="shared" si="24"/>
        <v>-0.78371620178222656</v>
      </c>
      <c r="AU71" s="44">
        <f t="shared" si="25"/>
        <v>-0.84615993499755859</v>
      </c>
      <c r="AV71" s="44">
        <f t="shared" si="26"/>
        <v>7.8769512176513672</v>
      </c>
      <c r="AW71" s="44">
        <f t="shared" si="27"/>
        <v>6.1267776489257812</v>
      </c>
      <c r="AX71" s="44">
        <f t="shared" si="28"/>
        <v>4.6204538345336914</v>
      </c>
      <c r="AY71" s="44">
        <f t="shared" si="29"/>
        <v>3.2850561141967773</v>
      </c>
      <c r="AZ71" s="44">
        <f t="shared" si="30"/>
        <v>5.5557804107666016</v>
      </c>
      <c r="BA71" s="44"/>
      <c r="BB71" s="4" t="s">
        <v>439</v>
      </c>
      <c r="BC71" s="24" t="s">
        <v>32</v>
      </c>
      <c r="BD71" s="44" t="e">
        <f>AR71*#REF!</f>
        <v>#REF!</v>
      </c>
      <c r="BE71" s="44" t="e">
        <f>AS71*#REF!</f>
        <v>#REF!</v>
      </c>
      <c r="BF71" s="44" t="e">
        <f>AT71*#REF!</f>
        <v>#REF!</v>
      </c>
      <c r="BG71" s="44" t="e">
        <f>AU71*#REF!</f>
        <v>#REF!</v>
      </c>
      <c r="BH71" s="44" t="e">
        <f>AV71*#REF!</f>
        <v>#REF!</v>
      </c>
      <c r="BI71" s="44" t="e">
        <f>AW71*#REF!</f>
        <v>#REF!</v>
      </c>
      <c r="BJ71" s="44" t="e">
        <f>AX71*#REF!</f>
        <v>#REF!</v>
      </c>
      <c r="BK71" s="44" t="e">
        <f>AY71*#REF!</f>
        <v>#REF!</v>
      </c>
      <c r="BL71" s="44" t="e">
        <f>AZ71*#REF!</f>
        <v>#REF!</v>
      </c>
      <c r="BM71" s="44" t="e">
        <f t="shared" si="31"/>
        <v>#REF!</v>
      </c>
      <c r="BN71" s="83" t="e">
        <f t="shared" si="32"/>
        <v>#REF!</v>
      </c>
      <c r="BP71" s="87">
        <v>99.598621713093806</v>
      </c>
      <c r="BQ71" s="87">
        <v>0.99274830505711764</v>
      </c>
    </row>
    <row r="72" spans="1:69" s="25" customFormat="1" ht="18">
      <c r="A72" s="3" t="s">
        <v>276</v>
      </c>
      <c r="B72" s="3">
        <v>46</v>
      </c>
      <c r="C72" s="21">
        <v>46</v>
      </c>
      <c r="D72" s="22" t="s">
        <v>163</v>
      </c>
      <c r="E72" s="23" t="s">
        <v>334</v>
      </c>
      <c r="F72" s="3"/>
      <c r="G72" s="3"/>
      <c r="H72" s="4" t="s">
        <v>485</v>
      </c>
      <c r="I72" s="24" t="s">
        <v>32</v>
      </c>
      <c r="J72" s="24">
        <v>80</v>
      </c>
      <c r="K72" s="24" t="s">
        <v>118</v>
      </c>
      <c r="L72" s="35">
        <v>20200915</v>
      </c>
      <c r="M72" s="3"/>
      <c r="N72" s="3"/>
      <c r="O72" s="3">
        <v>31.26</v>
      </c>
      <c r="P72" s="3">
        <v>1.31</v>
      </c>
      <c r="Q72" s="3">
        <v>0.45</v>
      </c>
      <c r="R72" s="3">
        <v>30</v>
      </c>
      <c r="S72" s="3">
        <v>937.9</v>
      </c>
      <c r="T72" s="39">
        <v>26.101544380187988</v>
      </c>
      <c r="U72" s="39">
        <v>27.153841018676758</v>
      </c>
      <c r="V72" s="39">
        <v>25.291172027587891</v>
      </c>
      <c r="W72" s="39">
        <v>27.049966812133789</v>
      </c>
      <c r="X72" s="39">
        <v>25.32456111907959</v>
      </c>
      <c r="Y72" s="39">
        <v>26.172940254211426</v>
      </c>
      <c r="Z72" s="39">
        <v>25.744277954101562</v>
      </c>
      <c r="AA72" s="39">
        <v>26.786463737487793</v>
      </c>
      <c r="AB72" s="39">
        <v>36.472028732299805</v>
      </c>
      <c r="AC72" s="39">
        <v>28.903518676757812</v>
      </c>
      <c r="AD72" s="39">
        <v>31.4659423828125</v>
      </c>
      <c r="AE72" s="39">
        <v>27.299921035766602</v>
      </c>
      <c r="AF72" s="39">
        <v>31.032375335693359</v>
      </c>
      <c r="AG72" s="39">
        <v>27.340609550476074</v>
      </c>
      <c r="AH72" s="39">
        <v>29.495944976806641</v>
      </c>
      <c r="AI72" s="39">
        <v>27.09000301361084</v>
      </c>
      <c r="AJ72" s="39">
        <v>33.236164093017578</v>
      </c>
      <c r="AK72" s="39">
        <v>27.344646453857422</v>
      </c>
      <c r="AL72" s="24" t="s">
        <v>32</v>
      </c>
      <c r="AM72" s="68">
        <f t="shared" si="21"/>
        <v>99.924711203473009</v>
      </c>
      <c r="AP72" s="4" t="s">
        <v>485</v>
      </c>
      <c r="AQ72" s="24" t="s">
        <v>32</v>
      </c>
      <c r="AR72" s="44">
        <f t="shared" si="22"/>
        <v>-1.0522966384887695</v>
      </c>
      <c r="AS72" s="44">
        <f t="shared" si="23"/>
        <v>-1.7587947845458984</v>
      </c>
      <c r="AT72" s="44">
        <f t="shared" si="24"/>
        <v>-0.84837913513183594</v>
      </c>
      <c r="AU72" s="44">
        <f t="shared" si="25"/>
        <v>-1.0421857833862305</v>
      </c>
      <c r="AV72" s="44">
        <f t="shared" si="26"/>
        <v>7.5685100555419922</v>
      </c>
      <c r="AW72" s="44">
        <f t="shared" si="27"/>
        <v>4.1660213470458984</v>
      </c>
      <c r="AX72" s="44">
        <f t="shared" si="28"/>
        <v>3.6917657852172852</v>
      </c>
      <c r="AY72" s="44">
        <f t="shared" si="29"/>
        <v>2.4059419631958008</v>
      </c>
      <c r="AZ72" s="44">
        <f t="shared" si="30"/>
        <v>5.8915176391601562</v>
      </c>
      <c r="BA72" s="44"/>
      <c r="BB72" s="4" t="s">
        <v>485</v>
      </c>
      <c r="BC72" s="24" t="s">
        <v>32</v>
      </c>
      <c r="BD72" s="44" t="e">
        <f>AR72*#REF!</f>
        <v>#REF!</v>
      </c>
      <c r="BE72" s="44" t="e">
        <f>AS72*#REF!</f>
        <v>#REF!</v>
      </c>
      <c r="BF72" s="44" t="e">
        <f>AT72*#REF!</f>
        <v>#REF!</v>
      </c>
      <c r="BG72" s="44" t="e">
        <f>AU72*#REF!</f>
        <v>#REF!</v>
      </c>
      <c r="BH72" s="44" t="e">
        <f>AV72*#REF!</f>
        <v>#REF!</v>
      </c>
      <c r="BI72" s="44" t="e">
        <f>AW72*#REF!</f>
        <v>#REF!</v>
      </c>
      <c r="BJ72" s="44" t="e">
        <f>AX72*#REF!</f>
        <v>#REF!</v>
      </c>
      <c r="BK72" s="44" t="e">
        <f>AY72*#REF!</f>
        <v>#REF!</v>
      </c>
      <c r="BL72" s="44" t="e">
        <f>AZ72*#REF!</f>
        <v>#REF!</v>
      </c>
      <c r="BM72" s="44" t="e">
        <f t="shared" si="31"/>
        <v>#REF!</v>
      </c>
      <c r="BN72" s="83" t="e">
        <f t="shared" si="32"/>
        <v>#REF!</v>
      </c>
      <c r="BP72" s="87">
        <v>99.924711203473009</v>
      </c>
      <c r="BQ72" s="87">
        <v>0.99806075379886994</v>
      </c>
    </row>
    <row r="73" spans="1:69" s="25" customFormat="1" ht="18">
      <c r="A73" s="3" t="s">
        <v>276</v>
      </c>
      <c r="B73" s="3">
        <v>47</v>
      </c>
      <c r="C73" s="21">
        <v>47</v>
      </c>
      <c r="D73" s="22" t="s">
        <v>164</v>
      </c>
      <c r="E73" s="23" t="s">
        <v>335</v>
      </c>
      <c r="F73" s="3"/>
      <c r="G73" s="3"/>
      <c r="H73" s="4" t="s">
        <v>486</v>
      </c>
      <c r="I73" s="24" t="s">
        <v>32</v>
      </c>
      <c r="J73" s="24">
        <v>80</v>
      </c>
      <c r="K73" s="24" t="s">
        <v>118</v>
      </c>
      <c r="L73" s="35">
        <v>20190909</v>
      </c>
      <c r="M73" s="3"/>
      <c r="N73" s="3"/>
      <c r="O73" s="3">
        <v>20.34</v>
      </c>
      <c r="P73" s="3">
        <v>1.24</v>
      </c>
      <c r="Q73" s="3">
        <v>0.43</v>
      </c>
      <c r="R73" s="3">
        <v>30</v>
      </c>
      <c r="S73" s="3">
        <v>610.29999999999995</v>
      </c>
      <c r="T73" s="39">
        <v>25.225398063659668</v>
      </c>
      <c r="U73" s="39">
        <v>26.208621978759766</v>
      </c>
      <c r="V73" s="39">
        <v>24.539259910583496</v>
      </c>
      <c r="W73" s="39">
        <v>26.184769630432129</v>
      </c>
      <c r="X73" s="39">
        <v>23.488992691040039</v>
      </c>
      <c r="Y73" s="39">
        <v>25.284558296203613</v>
      </c>
      <c r="Z73" s="39">
        <v>24.282536506652832</v>
      </c>
      <c r="AA73" s="39">
        <v>25.76119327545166</v>
      </c>
      <c r="AB73" s="39">
        <v>35.198535919189453</v>
      </c>
      <c r="AC73" s="39">
        <v>27.984987258911133</v>
      </c>
      <c r="AD73" s="39">
        <v>30.600488662719727</v>
      </c>
      <c r="AE73" s="39">
        <v>26.337285041809082</v>
      </c>
      <c r="AF73" s="39">
        <v>29.566084861755371</v>
      </c>
      <c r="AG73" s="39">
        <v>26.394511222839355</v>
      </c>
      <c r="AH73" s="39">
        <v>28.749148368835449</v>
      </c>
      <c r="AI73" s="39">
        <v>26.09124755859375</v>
      </c>
      <c r="AJ73" s="39">
        <v>32.237949371337891</v>
      </c>
      <c r="AK73" s="39">
        <v>26.271930694580078</v>
      </c>
      <c r="AL73" s="24" t="s">
        <v>32</v>
      </c>
      <c r="AM73" s="68">
        <f t="shared" si="21"/>
        <v>99.975298885095</v>
      </c>
      <c r="AP73" s="4" t="s">
        <v>486</v>
      </c>
      <c r="AQ73" s="24" t="s">
        <v>32</v>
      </c>
      <c r="AR73" s="44">
        <f t="shared" si="22"/>
        <v>-0.98322391510009766</v>
      </c>
      <c r="AS73" s="44">
        <f t="shared" si="23"/>
        <v>-1.6455097198486328</v>
      </c>
      <c r="AT73" s="44">
        <f t="shared" si="24"/>
        <v>-1.7955656051635742</v>
      </c>
      <c r="AU73" s="44">
        <f t="shared" si="25"/>
        <v>-1.4786567687988281</v>
      </c>
      <c r="AV73" s="44">
        <f t="shared" si="26"/>
        <v>7.2135486602783203</v>
      </c>
      <c r="AW73" s="44">
        <f t="shared" si="27"/>
        <v>4.2632036209106445</v>
      </c>
      <c r="AX73" s="44">
        <f t="shared" si="28"/>
        <v>3.1715736389160156</v>
      </c>
      <c r="AY73" s="44">
        <f t="shared" si="29"/>
        <v>2.6579008102416992</v>
      </c>
      <c r="AZ73" s="44">
        <f t="shared" si="30"/>
        <v>5.9660186767578125</v>
      </c>
      <c r="BA73" s="44"/>
      <c r="BB73" s="4" t="s">
        <v>486</v>
      </c>
      <c r="BC73" s="24" t="s">
        <v>32</v>
      </c>
      <c r="BD73" s="44" t="e">
        <f>AR73*#REF!</f>
        <v>#REF!</v>
      </c>
      <c r="BE73" s="44" t="e">
        <f>AS73*#REF!</f>
        <v>#REF!</v>
      </c>
      <c r="BF73" s="44" t="e">
        <f>AT73*#REF!</f>
        <v>#REF!</v>
      </c>
      <c r="BG73" s="44" t="e">
        <f>AU73*#REF!</f>
        <v>#REF!</v>
      </c>
      <c r="BH73" s="44" t="e">
        <f>AV73*#REF!</f>
        <v>#REF!</v>
      </c>
      <c r="BI73" s="44" t="e">
        <f>AW73*#REF!</f>
        <v>#REF!</v>
      </c>
      <c r="BJ73" s="44" t="e">
        <f>AX73*#REF!</f>
        <v>#REF!</v>
      </c>
      <c r="BK73" s="44" t="e">
        <f>AY73*#REF!</f>
        <v>#REF!</v>
      </c>
      <c r="BL73" s="44" t="e">
        <f>AZ73*#REF!</f>
        <v>#REF!</v>
      </c>
      <c r="BM73" s="44" t="e">
        <f t="shared" si="31"/>
        <v>#REF!</v>
      </c>
      <c r="BN73" s="83" t="e">
        <f t="shared" si="32"/>
        <v>#REF!</v>
      </c>
      <c r="BP73" s="87">
        <v>99.975298885095</v>
      </c>
      <c r="BQ73" s="87">
        <v>0.99897250358730683</v>
      </c>
    </row>
    <row r="74" spans="1:69" s="25" customFormat="1" ht="18">
      <c r="A74" s="3" t="s">
        <v>276</v>
      </c>
      <c r="B74" s="3">
        <v>48</v>
      </c>
      <c r="C74" s="21">
        <v>48</v>
      </c>
      <c r="D74" s="22" t="s">
        <v>165</v>
      </c>
      <c r="E74" s="23" t="s">
        <v>336</v>
      </c>
      <c r="F74" s="3"/>
      <c r="G74" s="3"/>
      <c r="H74" s="4" t="s">
        <v>487</v>
      </c>
      <c r="I74" s="24" t="s">
        <v>32</v>
      </c>
      <c r="J74" s="24">
        <v>80</v>
      </c>
      <c r="K74" s="24" t="s">
        <v>118</v>
      </c>
      <c r="L74" s="35">
        <v>20190930</v>
      </c>
      <c r="M74" s="3"/>
      <c r="N74" s="3"/>
      <c r="O74" s="3">
        <v>16.11</v>
      </c>
      <c r="P74" s="3">
        <v>1.17</v>
      </c>
      <c r="Q74" s="3">
        <v>0.4</v>
      </c>
      <c r="R74" s="3">
        <v>30</v>
      </c>
      <c r="S74" s="3">
        <v>483.4</v>
      </c>
      <c r="T74" s="39">
        <v>25.688661575317383</v>
      </c>
      <c r="U74" s="39">
        <v>26.613012313842773</v>
      </c>
      <c r="V74" s="39">
        <v>24.905583381652832</v>
      </c>
      <c r="W74" s="39">
        <v>26.48967170715332</v>
      </c>
      <c r="X74" s="39">
        <v>22.480995178222656</v>
      </c>
      <c r="Y74" s="39">
        <v>26.042512893676758</v>
      </c>
      <c r="Z74" s="39">
        <v>23.672494888305664</v>
      </c>
      <c r="AA74" s="39">
        <v>25.953098297119141</v>
      </c>
      <c r="AB74" s="39">
        <v>34.743715286254883</v>
      </c>
      <c r="AC74" s="39">
        <v>28.414133071899414</v>
      </c>
      <c r="AD74" s="39">
        <v>31.575007438659668</v>
      </c>
      <c r="AE74" s="39">
        <v>26.821245193481445</v>
      </c>
      <c r="AF74" s="39">
        <v>29.71134090423584</v>
      </c>
      <c r="AG74" s="39">
        <v>26.818918228149414</v>
      </c>
      <c r="AH74" s="39">
        <v>29.407758712768555</v>
      </c>
      <c r="AI74" s="39">
        <v>26.611191749572754</v>
      </c>
      <c r="AJ74" s="39">
        <v>31.661802291870117</v>
      </c>
      <c r="AK74" s="39">
        <v>26.576994895935059</v>
      </c>
      <c r="AL74" s="24" t="s">
        <v>32</v>
      </c>
      <c r="AM74" s="68">
        <f t="shared" si="21"/>
        <v>99.989151576188746</v>
      </c>
      <c r="AP74" s="4" t="s">
        <v>487</v>
      </c>
      <c r="AQ74" s="24" t="s">
        <v>32</v>
      </c>
      <c r="AR74" s="44">
        <f t="shared" si="22"/>
        <v>-0.92435073852539062</v>
      </c>
      <c r="AS74" s="44">
        <f t="shared" si="23"/>
        <v>-1.5840883255004883</v>
      </c>
      <c r="AT74" s="44">
        <f t="shared" si="24"/>
        <v>-3.5615177154541016</v>
      </c>
      <c r="AU74" s="44">
        <f t="shared" si="25"/>
        <v>-2.2806034088134766</v>
      </c>
      <c r="AV74" s="44">
        <f t="shared" si="26"/>
        <v>6.3295822143554688</v>
      </c>
      <c r="AW74" s="44">
        <f t="shared" si="27"/>
        <v>4.7537622451782227</v>
      </c>
      <c r="AX74" s="44">
        <f t="shared" si="28"/>
        <v>2.8924226760864258</v>
      </c>
      <c r="AY74" s="44">
        <f t="shared" si="29"/>
        <v>2.7965669631958008</v>
      </c>
      <c r="AZ74" s="44">
        <f t="shared" si="30"/>
        <v>5.0848073959350586</v>
      </c>
      <c r="BA74" s="44"/>
      <c r="BB74" s="4" t="s">
        <v>487</v>
      </c>
      <c r="BC74" s="24" t="s">
        <v>32</v>
      </c>
      <c r="BD74" s="44" t="e">
        <f>AR74*#REF!</f>
        <v>#REF!</v>
      </c>
      <c r="BE74" s="44" t="e">
        <f>AS74*#REF!</f>
        <v>#REF!</v>
      </c>
      <c r="BF74" s="44" t="e">
        <f>AT74*#REF!</f>
        <v>#REF!</v>
      </c>
      <c r="BG74" s="44" t="e">
        <f>AU74*#REF!</f>
        <v>#REF!</v>
      </c>
      <c r="BH74" s="44" t="e">
        <f>AV74*#REF!</f>
        <v>#REF!</v>
      </c>
      <c r="BI74" s="44" t="e">
        <f>AW74*#REF!</f>
        <v>#REF!</v>
      </c>
      <c r="BJ74" s="44" t="e">
        <f>AX74*#REF!</f>
        <v>#REF!</v>
      </c>
      <c r="BK74" s="44" t="e">
        <f>AY74*#REF!</f>
        <v>#REF!</v>
      </c>
      <c r="BL74" s="44" t="e">
        <f>AZ74*#REF!</f>
        <v>#REF!</v>
      </c>
      <c r="BM74" s="44" t="e">
        <f t="shared" si="31"/>
        <v>#REF!</v>
      </c>
      <c r="BN74" s="83" t="e">
        <f t="shared" si="32"/>
        <v>#REF!</v>
      </c>
      <c r="BP74" s="87">
        <v>99.989151576188746</v>
      </c>
      <c r="BQ74" s="87">
        <v>0.99943220423892953</v>
      </c>
    </row>
    <row r="75" spans="1:69" s="25" customFormat="1" ht="18">
      <c r="A75" s="3" t="s">
        <v>276</v>
      </c>
      <c r="B75" s="3">
        <v>49</v>
      </c>
      <c r="C75" s="21">
        <v>49</v>
      </c>
      <c r="D75" s="22" t="s">
        <v>166</v>
      </c>
      <c r="E75" s="23" t="s">
        <v>337</v>
      </c>
      <c r="F75" s="3"/>
      <c r="G75" s="3"/>
      <c r="H75" s="4" t="s">
        <v>488</v>
      </c>
      <c r="I75" s="24" t="s">
        <v>32</v>
      </c>
      <c r="J75" s="24">
        <v>81</v>
      </c>
      <c r="K75" s="24" t="s">
        <v>118</v>
      </c>
      <c r="L75" s="35">
        <v>20191104</v>
      </c>
      <c r="M75" s="3"/>
      <c r="N75" s="3"/>
      <c r="O75" s="3">
        <v>13.59</v>
      </c>
      <c r="P75" s="3">
        <v>1.1499999999999999</v>
      </c>
      <c r="Q75" s="3">
        <v>0.4</v>
      </c>
      <c r="R75" s="3">
        <v>30</v>
      </c>
      <c r="S75" s="3">
        <v>407.6</v>
      </c>
      <c r="T75" s="39">
        <v>26.516446113586426</v>
      </c>
      <c r="U75" s="39">
        <v>28.288240432739258</v>
      </c>
      <c r="V75" s="39">
        <v>25.602619171142578</v>
      </c>
      <c r="W75" s="39">
        <v>28.117401123046875</v>
      </c>
      <c r="X75" s="39">
        <v>27.46225643157959</v>
      </c>
      <c r="Y75" s="39">
        <v>27.500782012939453</v>
      </c>
      <c r="Z75" s="39">
        <v>25.837055206298828</v>
      </c>
      <c r="AA75" s="39">
        <v>27.864261627197266</v>
      </c>
      <c r="AB75" s="39">
        <v>37.566448211669922</v>
      </c>
      <c r="AC75" s="39">
        <v>30.130324363708496</v>
      </c>
      <c r="AD75" s="39">
        <v>31.956604957580566</v>
      </c>
      <c r="AE75" s="39">
        <v>28.517661094665527</v>
      </c>
      <c r="AF75" s="39">
        <v>32.413198471069336</v>
      </c>
      <c r="AG75" s="39">
        <v>28.579584121704102</v>
      </c>
      <c r="AH75" s="39">
        <v>29.75322151184082</v>
      </c>
      <c r="AI75" s="39">
        <v>28.06233024597168</v>
      </c>
      <c r="AJ75" s="39">
        <v>33.09185791015625</v>
      </c>
      <c r="AK75" s="39">
        <v>28.44895076751709</v>
      </c>
      <c r="AL75" s="24" t="s">
        <v>32</v>
      </c>
      <c r="AM75" s="68">
        <f t="shared" si="21"/>
        <v>99.852687434919034</v>
      </c>
      <c r="AP75" s="4" t="s">
        <v>488</v>
      </c>
      <c r="AQ75" s="24" t="s">
        <v>32</v>
      </c>
      <c r="AR75" s="44">
        <f t="shared" si="22"/>
        <v>-1.771794319152832</v>
      </c>
      <c r="AS75" s="44">
        <f t="shared" si="23"/>
        <v>-2.5147819519042969</v>
      </c>
      <c r="AT75" s="44">
        <f t="shared" si="24"/>
        <v>-3.8525581359863281E-2</v>
      </c>
      <c r="AU75" s="44">
        <f t="shared" si="25"/>
        <v>-2.0272064208984375</v>
      </c>
      <c r="AV75" s="44">
        <f t="shared" si="26"/>
        <v>7.4361238479614258</v>
      </c>
      <c r="AW75" s="44">
        <f t="shared" si="27"/>
        <v>3.4389438629150391</v>
      </c>
      <c r="AX75" s="44">
        <f t="shared" si="28"/>
        <v>3.8336143493652344</v>
      </c>
      <c r="AY75" s="44">
        <f t="shared" si="29"/>
        <v>1.6908912658691406</v>
      </c>
      <c r="AZ75" s="44">
        <f t="shared" si="30"/>
        <v>4.6429071426391602</v>
      </c>
      <c r="BA75" s="44"/>
      <c r="BB75" s="4" t="s">
        <v>488</v>
      </c>
      <c r="BC75" s="24" t="s">
        <v>32</v>
      </c>
      <c r="BD75" s="44" t="e">
        <f>AR75*#REF!</f>
        <v>#REF!</v>
      </c>
      <c r="BE75" s="44" t="e">
        <f>AS75*#REF!</f>
        <v>#REF!</v>
      </c>
      <c r="BF75" s="44" t="e">
        <f>AT75*#REF!</f>
        <v>#REF!</v>
      </c>
      <c r="BG75" s="44" t="e">
        <f>AU75*#REF!</f>
        <v>#REF!</v>
      </c>
      <c r="BH75" s="44" t="e">
        <f>AV75*#REF!</f>
        <v>#REF!</v>
      </c>
      <c r="BI75" s="44" t="e">
        <f>AW75*#REF!</f>
        <v>#REF!</v>
      </c>
      <c r="BJ75" s="44" t="e">
        <f>AX75*#REF!</f>
        <v>#REF!</v>
      </c>
      <c r="BK75" s="44" t="e">
        <f>AY75*#REF!</f>
        <v>#REF!</v>
      </c>
      <c r="BL75" s="44" t="e">
        <f>AZ75*#REF!</f>
        <v>#REF!</v>
      </c>
      <c r="BM75" s="44" t="e">
        <f t="shared" si="31"/>
        <v>#REF!</v>
      </c>
      <c r="BN75" s="83" t="e">
        <f t="shared" si="32"/>
        <v>#REF!</v>
      </c>
      <c r="BP75" s="87">
        <v>99.852687434919034</v>
      </c>
      <c r="BQ75" s="87">
        <v>0.99627936474160428</v>
      </c>
    </row>
    <row r="76" spans="1:69" s="25" customFormat="1" ht="18">
      <c r="A76" s="3" t="s">
        <v>276</v>
      </c>
      <c r="B76" s="3">
        <v>50</v>
      </c>
      <c r="C76" s="21">
        <v>50</v>
      </c>
      <c r="D76" s="22" t="s">
        <v>167</v>
      </c>
      <c r="E76" s="23" t="s">
        <v>338</v>
      </c>
      <c r="F76" s="3"/>
      <c r="G76" s="3"/>
      <c r="H76" s="4" t="s">
        <v>489</v>
      </c>
      <c r="I76" s="24" t="s">
        <v>32</v>
      </c>
      <c r="J76" s="24">
        <v>81</v>
      </c>
      <c r="K76" s="24" t="s">
        <v>118</v>
      </c>
      <c r="L76" s="35">
        <v>20201201</v>
      </c>
      <c r="M76" s="3"/>
      <c r="N76" s="3"/>
      <c r="O76" s="3">
        <v>14.4</v>
      </c>
      <c r="P76" s="3">
        <v>1.1499999999999999</v>
      </c>
      <c r="Q76" s="3">
        <v>0.38</v>
      </c>
      <c r="R76" s="3">
        <v>30</v>
      </c>
      <c r="S76" s="3">
        <v>431.9</v>
      </c>
      <c r="T76" s="39">
        <v>26.821391105651855</v>
      </c>
      <c r="U76" s="39">
        <v>26.991104125976562</v>
      </c>
      <c r="V76" s="39">
        <v>25.840207099914551</v>
      </c>
      <c r="W76" s="39">
        <v>26.961641311645508</v>
      </c>
      <c r="X76" s="39">
        <v>25.989726066589355</v>
      </c>
      <c r="Y76" s="39">
        <v>26.023260116577148</v>
      </c>
      <c r="Z76" s="39">
        <v>25.285197257995605</v>
      </c>
      <c r="AA76" s="39">
        <v>26.50202465057373</v>
      </c>
      <c r="AB76" s="39">
        <v>36.836746215820312</v>
      </c>
      <c r="AC76" s="39">
        <v>28.851534843444824</v>
      </c>
      <c r="AD76" s="39">
        <v>33.253377914428711</v>
      </c>
      <c r="AE76" s="39">
        <v>27.085982322692871</v>
      </c>
      <c r="AF76" s="39">
        <v>30.905025482177734</v>
      </c>
      <c r="AG76" s="39">
        <v>27.043713569641113</v>
      </c>
      <c r="AH76" s="39">
        <v>30.972352027893066</v>
      </c>
      <c r="AI76" s="39">
        <v>27.022563934326172</v>
      </c>
      <c r="AJ76" s="39">
        <v>32.787406921386719</v>
      </c>
      <c r="AK76" s="39">
        <v>27.15701961517334</v>
      </c>
      <c r="AL76" s="24" t="s">
        <v>32</v>
      </c>
      <c r="AM76" s="68">
        <f t="shared" si="21"/>
        <v>99.927146830853147</v>
      </c>
      <c r="AP76" s="4" t="s">
        <v>489</v>
      </c>
      <c r="AQ76" s="24" t="s">
        <v>32</v>
      </c>
      <c r="AR76" s="44">
        <f t="shared" si="22"/>
        <v>-0.16971302032470703</v>
      </c>
      <c r="AS76" s="44">
        <f t="shared" si="23"/>
        <v>-1.121434211730957</v>
      </c>
      <c r="AT76" s="44">
        <f t="shared" si="24"/>
        <v>-3.3534049987792969E-2</v>
      </c>
      <c r="AU76" s="44">
        <f t="shared" si="25"/>
        <v>-1.216827392578125</v>
      </c>
      <c r="AV76" s="44">
        <f t="shared" si="26"/>
        <v>7.9852113723754883</v>
      </c>
      <c r="AW76" s="44">
        <f t="shared" si="27"/>
        <v>6.1673955917358398</v>
      </c>
      <c r="AX76" s="44">
        <f t="shared" si="28"/>
        <v>3.8613119125366211</v>
      </c>
      <c r="AY76" s="44">
        <f t="shared" si="29"/>
        <v>3.9497880935668945</v>
      </c>
      <c r="AZ76" s="44">
        <f t="shared" si="30"/>
        <v>5.6303873062133789</v>
      </c>
      <c r="BA76" s="44"/>
      <c r="BB76" s="4" t="s">
        <v>489</v>
      </c>
      <c r="BC76" s="24" t="s">
        <v>32</v>
      </c>
      <c r="BD76" s="44" t="e">
        <f>AR76*#REF!</f>
        <v>#REF!</v>
      </c>
      <c r="BE76" s="44" t="e">
        <f>AS76*#REF!</f>
        <v>#REF!</v>
      </c>
      <c r="BF76" s="44" t="e">
        <f>AT76*#REF!</f>
        <v>#REF!</v>
      </c>
      <c r="BG76" s="44" t="e">
        <f>AU76*#REF!</f>
        <v>#REF!</v>
      </c>
      <c r="BH76" s="44" t="e">
        <f>AV76*#REF!</f>
        <v>#REF!</v>
      </c>
      <c r="BI76" s="44" t="e">
        <f>AW76*#REF!</f>
        <v>#REF!</v>
      </c>
      <c r="BJ76" s="44" t="e">
        <f>AX76*#REF!</f>
        <v>#REF!</v>
      </c>
      <c r="BK76" s="44" t="e">
        <f>AY76*#REF!</f>
        <v>#REF!</v>
      </c>
      <c r="BL76" s="44" t="e">
        <f>AZ76*#REF!</f>
        <v>#REF!</v>
      </c>
      <c r="BM76" s="44" t="e">
        <f t="shared" si="31"/>
        <v>#REF!</v>
      </c>
      <c r="BN76" s="83" t="e">
        <f t="shared" si="32"/>
        <v>#REF!</v>
      </c>
      <c r="BP76" s="87">
        <v>99.927146830853147</v>
      </c>
      <c r="BQ76" s="87">
        <v>0.99361456794644909</v>
      </c>
    </row>
    <row r="77" spans="1:69" s="25" customFormat="1" ht="18">
      <c r="A77" s="3" t="s">
        <v>276</v>
      </c>
      <c r="B77" s="3">
        <v>51</v>
      </c>
      <c r="C77" s="21">
        <v>51</v>
      </c>
      <c r="D77" s="22" t="s">
        <v>168</v>
      </c>
      <c r="E77" s="23" t="s">
        <v>339</v>
      </c>
      <c r="F77" s="3"/>
      <c r="G77" s="3"/>
      <c r="H77" s="4" t="s">
        <v>490</v>
      </c>
      <c r="I77" s="24" t="s">
        <v>32</v>
      </c>
      <c r="J77" s="24">
        <v>86</v>
      </c>
      <c r="K77" s="24" t="s">
        <v>118</v>
      </c>
      <c r="L77" s="35">
        <v>20200921</v>
      </c>
      <c r="M77" s="3"/>
      <c r="N77" s="3"/>
      <c r="O77" s="3">
        <v>10.59</v>
      </c>
      <c r="P77" s="3">
        <v>1.1100000000000001</v>
      </c>
      <c r="Q77" s="3">
        <v>0.38</v>
      </c>
      <c r="R77" s="3">
        <v>30</v>
      </c>
      <c r="S77" s="3">
        <v>317.7</v>
      </c>
      <c r="T77" s="39">
        <v>29.496500968933105</v>
      </c>
      <c r="U77" s="39">
        <v>26.406711578369141</v>
      </c>
      <c r="V77" s="39">
        <v>27.314781188964844</v>
      </c>
      <c r="W77" s="39">
        <v>26.415424346923828</v>
      </c>
      <c r="X77" s="39">
        <v>27.872895240783691</v>
      </c>
      <c r="Y77" s="39">
        <v>25.836047172546387</v>
      </c>
      <c r="Z77" s="39">
        <v>25.665621757507324</v>
      </c>
      <c r="AA77" s="39">
        <v>25.962066650390625</v>
      </c>
      <c r="AB77" s="39">
        <v>38.999176025390625</v>
      </c>
      <c r="AC77" s="39">
        <v>27.974127769470215</v>
      </c>
      <c r="AD77" s="39">
        <v>36.526407241821289</v>
      </c>
      <c r="AE77" s="39">
        <v>26.449548721313477</v>
      </c>
      <c r="AF77" s="39">
        <v>30.97592830657959</v>
      </c>
      <c r="AG77" s="39">
        <v>26.386905670166016</v>
      </c>
      <c r="AH77" s="39">
        <v>33.121700286865234</v>
      </c>
      <c r="AI77" s="39">
        <v>26.497135162353516</v>
      </c>
      <c r="AJ77" s="39">
        <v>34.896577835083008</v>
      </c>
      <c r="AK77" s="39">
        <v>26.512008666992188</v>
      </c>
      <c r="AL77" s="24" t="s">
        <v>32</v>
      </c>
      <c r="AM77" s="68">
        <f t="shared" si="21"/>
        <v>99.885896790998203</v>
      </c>
      <c r="AP77" s="4" t="s">
        <v>490</v>
      </c>
      <c r="AQ77" s="24" t="s">
        <v>32</v>
      </c>
      <c r="AR77" s="44">
        <f t="shared" si="22"/>
        <v>3.0897893905639648</v>
      </c>
      <c r="AS77" s="44">
        <f t="shared" si="23"/>
        <v>0.89935684204101562</v>
      </c>
      <c r="AT77" s="44">
        <f t="shared" si="24"/>
        <v>2.0368480682373047</v>
      </c>
      <c r="AU77" s="44">
        <f t="shared" si="25"/>
        <v>-0.29644489288330078</v>
      </c>
      <c r="AV77" s="44">
        <f t="shared" si="26"/>
        <v>11.02504825592041</v>
      </c>
      <c r="AW77" s="44">
        <f t="shared" si="27"/>
        <v>10.076858520507812</v>
      </c>
      <c r="AX77" s="44">
        <f t="shared" si="28"/>
        <v>4.5890226364135742</v>
      </c>
      <c r="AY77" s="44">
        <f t="shared" si="29"/>
        <v>6.6245651245117188</v>
      </c>
      <c r="AZ77" s="44">
        <f t="shared" si="30"/>
        <v>8.3845691680908203</v>
      </c>
      <c r="BA77" s="44"/>
      <c r="BB77" s="4" t="s">
        <v>490</v>
      </c>
      <c r="BC77" s="24" t="s">
        <v>32</v>
      </c>
      <c r="BD77" s="44" t="e">
        <f>AR77*#REF!</f>
        <v>#REF!</v>
      </c>
      <c r="BE77" s="44" t="e">
        <f>AS77*#REF!</f>
        <v>#REF!</v>
      </c>
      <c r="BF77" s="44" t="e">
        <f>AT77*#REF!</f>
        <v>#REF!</v>
      </c>
      <c r="BG77" s="44" t="e">
        <f>AU77*#REF!</f>
        <v>#REF!</v>
      </c>
      <c r="BH77" s="44" t="e">
        <f>AV77*#REF!</f>
        <v>#REF!</v>
      </c>
      <c r="BI77" s="44" t="e">
        <f>AW77*#REF!</f>
        <v>#REF!</v>
      </c>
      <c r="BJ77" s="44" t="e">
        <f>AX77*#REF!</f>
        <v>#REF!</v>
      </c>
      <c r="BK77" s="44" t="e">
        <f>AY77*#REF!</f>
        <v>#REF!</v>
      </c>
      <c r="BL77" s="44" t="e">
        <f>AZ77*#REF!</f>
        <v>#REF!</v>
      </c>
      <c r="BM77" s="44" t="e">
        <f t="shared" si="31"/>
        <v>#REF!</v>
      </c>
      <c r="BN77" s="83" t="e">
        <f t="shared" si="32"/>
        <v>#REF!</v>
      </c>
      <c r="BP77" s="87">
        <v>99.885896790998203</v>
      </c>
      <c r="BQ77" s="87">
        <v>0.91940895800731193</v>
      </c>
    </row>
    <row r="78" spans="1:69" s="25" customFormat="1" ht="18">
      <c r="A78" s="3" t="s">
        <v>276</v>
      </c>
      <c r="B78" s="3">
        <v>52</v>
      </c>
      <c r="C78" s="21">
        <v>52</v>
      </c>
      <c r="D78" s="22" t="s">
        <v>169</v>
      </c>
      <c r="E78" s="23" t="s">
        <v>340</v>
      </c>
      <c r="F78" s="3"/>
      <c r="G78" s="3"/>
      <c r="H78" s="4" t="s">
        <v>491</v>
      </c>
      <c r="I78" s="24" t="s">
        <v>32</v>
      </c>
      <c r="J78" s="24">
        <v>86</v>
      </c>
      <c r="K78" s="24" t="s">
        <v>118</v>
      </c>
      <c r="L78" s="35">
        <v>20201007</v>
      </c>
      <c r="M78" s="3"/>
      <c r="N78" s="3"/>
      <c r="O78" s="3">
        <v>14.9</v>
      </c>
      <c r="P78" s="3">
        <v>1.1599999999999999</v>
      </c>
      <c r="Q78" s="3">
        <v>0.4</v>
      </c>
      <c r="R78" s="3">
        <v>30</v>
      </c>
      <c r="S78" s="3">
        <v>447</v>
      </c>
      <c r="T78" s="39">
        <v>26.895357131958008</v>
      </c>
      <c r="U78" s="39">
        <v>27.718328475952148</v>
      </c>
      <c r="V78" s="39">
        <v>26.131719589233398</v>
      </c>
      <c r="W78" s="39">
        <v>27.606196403503418</v>
      </c>
      <c r="X78" s="39">
        <v>24.385160446166992</v>
      </c>
      <c r="Y78" s="39">
        <v>26.909378051757812</v>
      </c>
      <c r="Z78" s="39">
        <v>24.614392280578613</v>
      </c>
      <c r="AA78" s="39">
        <v>26.922468185424805</v>
      </c>
      <c r="AB78" s="39">
        <v>34.896053314208984</v>
      </c>
      <c r="AC78" s="39">
        <v>29.516383171081543</v>
      </c>
      <c r="AD78" s="39">
        <v>33.11640739440918</v>
      </c>
      <c r="AE78" s="39">
        <v>27.763928413391113</v>
      </c>
      <c r="AF78" s="39">
        <v>29.257876396179199</v>
      </c>
      <c r="AG78" s="39">
        <v>27.72772216796875</v>
      </c>
      <c r="AH78" s="39">
        <v>30.308712959289551</v>
      </c>
      <c r="AI78" s="39">
        <v>27.488715171813965</v>
      </c>
      <c r="AJ78" s="39">
        <v>31.764756202697754</v>
      </c>
      <c r="AK78" s="39">
        <v>27.632967948913574</v>
      </c>
      <c r="AL78" s="24" t="s">
        <v>32</v>
      </c>
      <c r="AM78" s="68">
        <f t="shared" si="21"/>
        <v>99.999361938935067</v>
      </c>
      <c r="AP78" s="4" t="s">
        <v>491</v>
      </c>
      <c r="AQ78" s="24" t="s">
        <v>32</v>
      </c>
      <c r="AR78" s="44">
        <f t="shared" si="22"/>
        <v>-0.82297134399414062</v>
      </c>
      <c r="AS78" s="44">
        <f t="shared" si="23"/>
        <v>-1.4744768142700195</v>
      </c>
      <c r="AT78" s="44">
        <f t="shared" si="24"/>
        <v>-2.5242176055908203</v>
      </c>
      <c r="AU78" s="44">
        <f t="shared" si="25"/>
        <v>-2.3080759048461914</v>
      </c>
      <c r="AV78" s="44">
        <f t="shared" si="26"/>
        <v>5.3796701431274414</v>
      </c>
      <c r="AW78" s="44">
        <f t="shared" si="27"/>
        <v>5.3524789810180664</v>
      </c>
      <c r="AX78" s="44">
        <f t="shared" si="28"/>
        <v>1.5301542282104492</v>
      </c>
      <c r="AY78" s="44">
        <f t="shared" si="29"/>
        <v>2.8199977874755859</v>
      </c>
      <c r="AZ78" s="44">
        <f t="shared" si="30"/>
        <v>4.1317882537841797</v>
      </c>
      <c r="BA78" s="44"/>
      <c r="BB78" s="4" t="s">
        <v>491</v>
      </c>
      <c r="BC78" s="24" t="s">
        <v>32</v>
      </c>
      <c r="BD78" s="44" t="e">
        <f>AR78*#REF!</f>
        <v>#REF!</v>
      </c>
      <c r="BE78" s="44" t="e">
        <f>AS78*#REF!</f>
        <v>#REF!</v>
      </c>
      <c r="BF78" s="44" t="e">
        <f>AT78*#REF!</f>
        <v>#REF!</v>
      </c>
      <c r="BG78" s="44" t="e">
        <f>AU78*#REF!</f>
        <v>#REF!</v>
      </c>
      <c r="BH78" s="44" t="e">
        <f>AV78*#REF!</f>
        <v>#REF!</v>
      </c>
      <c r="BI78" s="44" t="e">
        <f>AW78*#REF!</f>
        <v>#REF!</v>
      </c>
      <c r="BJ78" s="44" t="e">
        <f>AX78*#REF!</f>
        <v>#REF!</v>
      </c>
      <c r="BK78" s="44" t="e">
        <f>AY78*#REF!</f>
        <v>#REF!</v>
      </c>
      <c r="BL78" s="44" t="e">
        <f>AZ78*#REF!</f>
        <v>#REF!</v>
      </c>
      <c r="BM78" s="44" t="e">
        <f t="shared" si="31"/>
        <v>#REF!</v>
      </c>
      <c r="BN78" s="83" t="e">
        <f t="shared" si="32"/>
        <v>#REF!</v>
      </c>
      <c r="BP78" s="87">
        <v>99.999361938935067</v>
      </c>
      <c r="BQ78" s="87">
        <v>0.9998098930692596</v>
      </c>
    </row>
    <row r="79" spans="1:69" s="25" customFormat="1" ht="18">
      <c r="A79" s="3" t="s">
        <v>276</v>
      </c>
      <c r="B79" s="3">
        <v>53</v>
      </c>
      <c r="C79" s="21">
        <v>53</v>
      </c>
      <c r="D79" s="22" t="s">
        <v>170</v>
      </c>
      <c r="E79" s="23" t="s">
        <v>340</v>
      </c>
      <c r="F79" s="3"/>
      <c r="G79" s="3"/>
      <c r="H79" s="4" t="s">
        <v>492</v>
      </c>
      <c r="I79" s="24" t="s">
        <v>32</v>
      </c>
      <c r="J79" s="24">
        <v>86</v>
      </c>
      <c r="K79" s="24" t="s">
        <v>118</v>
      </c>
      <c r="L79" s="35">
        <v>20201007</v>
      </c>
      <c r="M79" s="3"/>
      <c r="N79" s="3"/>
      <c r="O79" s="3">
        <v>12.64</v>
      </c>
      <c r="P79" s="3">
        <v>1.1200000000000001</v>
      </c>
      <c r="Q79" s="3">
        <v>0.38</v>
      </c>
      <c r="R79" s="3">
        <v>30</v>
      </c>
      <c r="S79" s="3">
        <v>379.1</v>
      </c>
      <c r="T79" s="39">
        <v>26.005361557006836</v>
      </c>
      <c r="U79" s="39">
        <v>26.826436042785645</v>
      </c>
      <c r="V79" s="39">
        <v>25.293299674987793</v>
      </c>
      <c r="W79" s="39">
        <v>26.777139663696289</v>
      </c>
      <c r="X79" s="39">
        <v>24.776265144348145</v>
      </c>
      <c r="Y79" s="39">
        <v>25.907210350036621</v>
      </c>
      <c r="Z79" s="39">
        <v>24.236943244934082</v>
      </c>
      <c r="AA79" s="39">
        <v>26.184195518493652</v>
      </c>
      <c r="AB79" s="39">
        <v>35.371438980102539</v>
      </c>
      <c r="AC79" s="39">
        <v>28.647014617919922</v>
      </c>
      <c r="AD79" s="39">
        <v>32.061191558837891</v>
      </c>
      <c r="AE79" s="39">
        <v>26.940296173095703</v>
      </c>
      <c r="AF79" s="39">
        <v>29.740792274475098</v>
      </c>
      <c r="AG79" s="39">
        <v>26.923244476318359</v>
      </c>
      <c r="AH79" s="39">
        <v>29.422061920166016</v>
      </c>
      <c r="AI79" s="39">
        <v>26.686908721923828</v>
      </c>
      <c r="AJ79" s="39">
        <v>32.158210754394531</v>
      </c>
      <c r="AK79" s="39">
        <v>26.860984802246094</v>
      </c>
      <c r="AL79" s="24" t="s">
        <v>32</v>
      </c>
      <c r="AM79" s="68">
        <f t="shared" si="21"/>
        <v>99.989789881365866</v>
      </c>
      <c r="AP79" s="4" t="s">
        <v>492</v>
      </c>
      <c r="AQ79" s="24" t="s">
        <v>32</v>
      </c>
      <c r="AR79" s="44">
        <f t="shared" si="22"/>
        <v>-0.82107448577880859</v>
      </c>
      <c r="AS79" s="44">
        <f t="shared" si="23"/>
        <v>-1.4838399887084961</v>
      </c>
      <c r="AT79" s="44">
        <f t="shared" si="24"/>
        <v>-1.1309452056884766</v>
      </c>
      <c r="AU79" s="44">
        <f t="shared" si="25"/>
        <v>-1.9472522735595703</v>
      </c>
      <c r="AV79" s="44">
        <f t="shared" si="26"/>
        <v>6.7244243621826172</v>
      </c>
      <c r="AW79" s="44">
        <f t="shared" si="27"/>
        <v>5.1208953857421875</v>
      </c>
      <c r="AX79" s="44">
        <f t="shared" si="28"/>
        <v>2.8175477981567383</v>
      </c>
      <c r="AY79" s="44">
        <f t="shared" si="29"/>
        <v>2.7351531982421875</v>
      </c>
      <c r="AZ79" s="44">
        <f t="shared" si="30"/>
        <v>5.2972259521484375</v>
      </c>
      <c r="BA79" s="44"/>
      <c r="BB79" s="4" t="s">
        <v>492</v>
      </c>
      <c r="BC79" s="24" t="s">
        <v>32</v>
      </c>
      <c r="BD79" s="44" t="e">
        <f>AR79*#REF!</f>
        <v>#REF!</v>
      </c>
      <c r="BE79" s="44" t="e">
        <f>AS79*#REF!</f>
        <v>#REF!</v>
      </c>
      <c r="BF79" s="44" t="e">
        <f>AT79*#REF!</f>
        <v>#REF!</v>
      </c>
      <c r="BG79" s="44" t="e">
        <f>AU79*#REF!</f>
        <v>#REF!</v>
      </c>
      <c r="BH79" s="44" t="e">
        <f>AV79*#REF!</f>
        <v>#REF!</v>
      </c>
      <c r="BI79" s="44" t="e">
        <f>AW79*#REF!</f>
        <v>#REF!</v>
      </c>
      <c r="BJ79" s="44" t="e">
        <f>AX79*#REF!</f>
        <v>#REF!</v>
      </c>
      <c r="BK79" s="44" t="e">
        <f>AY79*#REF!</f>
        <v>#REF!</v>
      </c>
      <c r="BL79" s="44" t="e">
        <f>AZ79*#REF!</f>
        <v>#REF!</v>
      </c>
      <c r="BM79" s="44" t="e">
        <f t="shared" si="31"/>
        <v>#REF!</v>
      </c>
      <c r="BN79" s="83" t="e">
        <f t="shared" si="32"/>
        <v>#REF!</v>
      </c>
      <c r="BP79" s="87">
        <v>99.989789881365866</v>
      </c>
      <c r="BQ79" s="87">
        <v>0.99890986860107145</v>
      </c>
    </row>
    <row r="80" spans="1:69" s="25" customFormat="1" ht="18">
      <c r="A80" s="3" t="s">
        <v>276</v>
      </c>
      <c r="B80" s="3">
        <v>54</v>
      </c>
      <c r="C80" s="21">
        <v>54</v>
      </c>
      <c r="D80" s="22" t="s">
        <v>171</v>
      </c>
      <c r="E80" s="23" t="s">
        <v>341</v>
      </c>
      <c r="F80" s="3"/>
      <c r="G80" s="3"/>
      <c r="H80" s="4" t="s">
        <v>493</v>
      </c>
      <c r="I80" s="24" t="s">
        <v>32</v>
      </c>
      <c r="J80" s="24">
        <v>86</v>
      </c>
      <c r="K80" s="24" t="s">
        <v>118</v>
      </c>
      <c r="L80" s="35">
        <v>20200908</v>
      </c>
      <c r="M80" s="3"/>
      <c r="N80" s="3"/>
      <c r="O80" s="3">
        <v>10.43</v>
      </c>
      <c r="P80" s="3">
        <v>1.08</v>
      </c>
      <c r="Q80" s="3">
        <v>0.36</v>
      </c>
      <c r="R80" s="3">
        <v>30</v>
      </c>
      <c r="S80" s="3">
        <v>313</v>
      </c>
      <c r="T80" s="39">
        <v>28.327435493469238</v>
      </c>
      <c r="U80" s="39">
        <v>26.247549057006836</v>
      </c>
      <c r="V80" s="39">
        <v>26.566490173339844</v>
      </c>
      <c r="W80" s="39">
        <v>26.24757194519043</v>
      </c>
      <c r="X80" s="39">
        <v>24.891719818115234</v>
      </c>
      <c r="Y80" s="39">
        <v>25.180452346801758</v>
      </c>
      <c r="Z80" s="39">
        <v>25.036520957946777</v>
      </c>
      <c r="AA80" s="39">
        <v>25.876102447509766</v>
      </c>
      <c r="AB80" s="39">
        <v>35.771892547607422</v>
      </c>
      <c r="AC80" s="39">
        <v>27.95671272277832</v>
      </c>
      <c r="AD80" s="39">
        <v>34.165523529052734</v>
      </c>
      <c r="AE80" s="39">
        <v>26.194029808044434</v>
      </c>
      <c r="AF80" s="39">
        <v>30.785367012023926</v>
      </c>
      <c r="AG80" s="39">
        <v>26.20649242401123</v>
      </c>
      <c r="AH80" s="39">
        <v>31.892631530761719</v>
      </c>
      <c r="AI80" s="39">
        <v>26.232865333557129</v>
      </c>
      <c r="AJ80" s="39">
        <v>32.78959846496582</v>
      </c>
      <c r="AK80" s="39">
        <v>26.227645874023438</v>
      </c>
      <c r="AL80" s="24" t="s">
        <v>32</v>
      </c>
      <c r="AM80" s="68">
        <f t="shared" si="21"/>
        <v>99.932732406938314</v>
      </c>
      <c r="AP80" s="4" t="s">
        <v>493</v>
      </c>
      <c r="AQ80" s="24" t="s">
        <v>32</v>
      </c>
      <c r="AR80" s="44">
        <f t="shared" si="22"/>
        <v>2.0798864364624023</v>
      </c>
      <c r="AS80" s="44">
        <f t="shared" si="23"/>
        <v>0.31891822814941406</v>
      </c>
      <c r="AT80" s="44">
        <f t="shared" si="24"/>
        <v>-0.28873252868652344</v>
      </c>
      <c r="AU80" s="44">
        <f t="shared" si="25"/>
        <v>-0.83958148956298828</v>
      </c>
      <c r="AV80" s="44">
        <f t="shared" si="26"/>
        <v>7.8151798248291016</v>
      </c>
      <c r="AW80" s="44">
        <f t="shared" si="27"/>
        <v>7.9714937210083008</v>
      </c>
      <c r="AX80" s="44">
        <f t="shared" si="28"/>
        <v>4.5788745880126953</v>
      </c>
      <c r="AY80" s="44">
        <f t="shared" si="29"/>
        <v>5.6597661972045898</v>
      </c>
      <c r="AZ80" s="44">
        <f t="shared" si="30"/>
        <v>6.5619525909423828</v>
      </c>
      <c r="BA80" s="44"/>
      <c r="BB80" s="4" t="s">
        <v>493</v>
      </c>
      <c r="BC80" s="24" t="s">
        <v>32</v>
      </c>
      <c r="BD80" s="44" t="e">
        <f>AR80*#REF!</f>
        <v>#REF!</v>
      </c>
      <c r="BE80" s="44" t="e">
        <f>AS80*#REF!</f>
        <v>#REF!</v>
      </c>
      <c r="BF80" s="44" t="e">
        <f>AT80*#REF!</f>
        <v>#REF!</v>
      </c>
      <c r="BG80" s="44" t="e">
        <f>AU80*#REF!</f>
        <v>#REF!</v>
      </c>
      <c r="BH80" s="44" t="e">
        <f>AV80*#REF!</f>
        <v>#REF!</v>
      </c>
      <c r="BI80" s="44" t="e">
        <f>AW80*#REF!</f>
        <v>#REF!</v>
      </c>
      <c r="BJ80" s="44" t="e">
        <f>AX80*#REF!</f>
        <v>#REF!</v>
      </c>
      <c r="BK80" s="44" t="e">
        <f>AY80*#REF!</f>
        <v>#REF!</v>
      </c>
      <c r="BL80" s="44" t="e">
        <f>AZ80*#REF!</f>
        <v>#REF!</v>
      </c>
      <c r="BM80" s="44" t="e">
        <f t="shared" si="31"/>
        <v>#REF!</v>
      </c>
      <c r="BN80" s="83" t="e">
        <f t="shared" si="32"/>
        <v>#REF!</v>
      </c>
      <c r="BP80" s="87">
        <v>99.932732406938314</v>
      </c>
      <c r="BQ80" s="87">
        <v>0.98788026208704705</v>
      </c>
    </row>
    <row r="81" spans="1:69" s="25" customFormat="1" ht="18">
      <c r="A81" s="3" t="s">
        <v>276</v>
      </c>
      <c r="B81" s="3">
        <v>55</v>
      </c>
      <c r="C81" s="21">
        <v>55</v>
      </c>
      <c r="D81" s="22" t="s">
        <v>172</v>
      </c>
      <c r="E81" s="23" t="s">
        <v>341</v>
      </c>
      <c r="F81" s="3"/>
      <c r="G81" s="3"/>
      <c r="H81" s="4" t="s">
        <v>494</v>
      </c>
      <c r="I81" s="24" t="s">
        <v>32</v>
      </c>
      <c r="J81" s="24">
        <v>86</v>
      </c>
      <c r="K81" s="24" t="s">
        <v>118</v>
      </c>
      <c r="L81" s="35">
        <v>20200908</v>
      </c>
      <c r="M81" s="3"/>
      <c r="N81" s="3"/>
      <c r="O81" s="3">
        <v>11.02</v>
      </c>
      <c r="P81" s="3">
        <v>1.1200000000000001</v>
      </c>
      <c r="Q81" s="3">
        <v>0.38</v>
      </c>
      <c r="R81" s="3">
        <v>30</v>
      </c>
      <c r="S81" s="3">
        <v>330.6</v>
      </c>
      <c r="T81" s="39">
        <v>24.490371704101562</v>
      </c>
      <c r="U81" s="39">
        <v>25.013241767883301</v>
      </c>
      <c r="V81" s="39">
        <v>23.782849311828613</v>
      </c>
      <c r="W81" s="39">
        <v>24.974966049194336</v>
      </c>
      <c r="X81" s="39">
        <v>25.701523780822754</v>
      </c>
      <c r="Y81" s="39">
        <v>24.37877368927002</v>
      </c>
      <c r="Z81" s="39">
        <v>24.494132041931152</v>
      </c>
      <c r="AA81" s="39">
        <v>24.797652244567871</v>
      </c>
      <c r="AB81" s="39">
        <v>35.482463836669922</v>
      </c>
      <c r="AC81" s="39">
        <v>26.870535850524902</v>
      </c>
      <c r="AD81" s="39">
        <v>30.617714881896973</v>
      </c>
      <c r="AE81" s="39">
        <v>25.02413272857666</v>
      </c>
      <c r="AF81" s="39">
        <v>31.203195571899414</v>
      </c>
      <c r="AG81" s="39">
        <v>25.048629760742188</v>
      </c>
      <c r="AH81" s="39">
        <v>28.012974739074707</v>
      </c>
      <c r="AI81" s="39">
        <v>24.904837608337402</v>
      </c>
      <c r="AJ81" s="39">
        <v>31.877079963684082</v>
      </c>
      <c r="AK81" s="39">
        <v>25.185965538024902</v>
      </c>
      <c r="AL81" s="24" t="s">
        <v>32</v>
      </c>
      <c r="AM81" s="68">
        <f t="shared" si="21"/>
        <v>93.578785833448677</v>
      </c>
      <c r="AP81" s="4" t="s">
        <v>494</v>
      </c>
      <c r="AQ81" s="24" t="s">
        <v>32</v>
      </c>
      <c r="AR81" s="44">
        <f t="shared" si="22"/>
        <v>-0.52287006378173828</v>
      </c>
      <c r="AS81" s="44">
        <f t="shared" si="23"/>
        <v>-1.1921167373657227</v>
      </c>
      <c r="AT81" s="44">
        <f t="shared" si="24"/>
        <v>1.3227500915527344</v>
      </c>
      <c r="AU81" s="44">
        <f t="shared" si="25"/>
        <v>-0.30352020263671875</v>
      </c>
      <c r="AV81" s="44">
        <f t="shared" si="26"/>
        <v>8.6119279861450195</v>
      </c>
      <c r="AW81" s="44">
        <f t="shared" si="27"/>
        <v>5.5935821533203125</v>
      </c>
      <c r="AX81" s="44">
        <f t="shared" si="28"/>
        <v>6.1545658111572266</v>
      </c>
      <c r="AY81" s="44">
        <f t="shared" si="29"/>
        <v>3.1081371307373047</v>
      </c>
      <c r="AZ81" s="44">
        <f t="shared" si="30"/>
        <v>6.6911144256591797</v>
      </c>
      <c r="BA81" s="44"/>
      <c r="BB81" s="4" t="s">
        <v>494</v>
      </c>
      <c r="BC81" s="24" t="s">
        <v>32</v>
      </c>
      <c r="BD81" s="44" t="e">
        <f>AR81*#REF!</f>
        <v>#REF!</v>
      </c>
      <c r="BE81" s="44" t="e">
        <f>AS81*#REF!</f>
        <v>#REF!</v>
      </c>
      <c r="BF81" s="44" t="e">
        <f>AT81*#REF!</f>
        <v>#REF!</v>
      </c>
      <c r="BG81" s="44" t="e">
        <f>AU81*#REF!</f>
        <v>#REF!</v>
      </c>
      <c r="BH81" s="44" t="e">
        <f>AV81*#REF!</f>
        <v>#REF!</v>
      </c>
      <c r="BI81" s="44" t="e">
        <f>AW81*#REF!</f>
        <v>#REF!</v>
      </c>
      <c r="BJ81" s="44" t="e">
        <f>AX81*#REF!</f>
        <v>#REF!</v>
      </c>
      <c r="BK81" s="44" t="e">
        <f>AY81*#REF!</f>
        <v>#REF!</v>
      </c>
      <c r="BL81" s="44" t="e">
        <f>AZ81*#REF!</f>
        <v>#REF!</v>
      </c>
      <c r="BM81" s="44" t="e">
        <f t="shared" si="31"/>
        <v>#REF!</v>
      </c>
      <c r="BN81" s="83" t="e">
        <f t="shared" si="32"/>
        <v>#REF!</v>
      </c>
      <c r="BP81" s="87">
        <v>93.578785833448677</v>
      </c>
      <c r="BQ81" s="87">
        <v>0.95841505849761033</v>
      </c>
    </row>
    <row r="82" spans="1:69" s="25" customFormat="1" ht="18">
      <c r="A82" s="3" t="s">
        <v>276</v>
      </c>
      <c r="B82" s="3">
        <v>56</v>
      </c>
      <c r="C82" s="21">
        <v>56</v>
      </c>
      <c r="D82" s="22" t="s">
        <v>173</v>
      </c>
      <c r="E82" s="23" t="s">
        <v>342</v>
      </c>
      <c r="F82" s="3"/>
      <c r="G82" s="3"/>
      <c r="H82" s="4" t="s">
        <v>440</v>
      </c>
      <c r="I82" s="24" t="s">
        <v>32</v>
      </c>
      <c r="J82" s="24">
        <v>88</v>
      </c>
      <c r="K82" s="24" t="s">
        <v>118</v>
      </c>
      <c r="L82" s="35">
        <v>20201118</v>
      </c>
      <c r="M82" s="3"/>
      <c r="N82" s="3"/>
      <c r="O82" s="3">
        <v>11.65</v>
      </c>
      <c r="P82" s="3">
        <v>1.1299999999999999</v>
      </c>
      <c r="Q82" s="3">
        <v>0.37</v>
      </c>
      <c r="R82" s="3">
        <v>30</v>
      </c>
      <c r="S82" s="3">
        <v>349.5</v>
      </c>
      <c r="T82" s="39">
        <v>28.860270500183105</v>
      </c>
      <c r="U82" s="39">
        <v>27.751143455505371</v>
      </c>
      <c r="V82" s="39">
        <v>26.955236434936523</v>
      </c>
      <c r="W82" s="39">
        <v>27.518898010253906</v>
      </c>
      <c r="X82" s="39">
        <v>27.096096992492676</v>
      </c>
      <c r="Y82" s="39">
        <v>26.567360877990723</v>
      </c>
      <c r="Z82" s="39">
        <v>25.966483116149902</v>
      </c>
      <c r="AA82" s="39">
        <v>26.964866638183594</v>
      </c>
      <c r="AB82" s="39">
        <v>39.4541015625</v>
      </c>
      <c r="AC82" s="39">
        <v>29.430658340454102</v>
      </c>
      <c r="AD82" s="39">
        <v>34.684263229370117</v>
      </c>
      <c r="AE82" s="39">
        <v>27.562983512878418</v>
      </c>
      <c r="AF82" s="39">
        <v>32.667976379394531</v>
      </c>
      <c r="AG82" s="39">
        <v>27.378293991088867</v>
      </c>
      <c r="AH82" s="39">
        <v>31.712201118469238</v>
      </c>
      <c r="AI82" s="39">
        <v>27.523138999938965</v>
      </c>
      <c r="AJ82" s="39">
        <v>34.96052360534668</v>
      </c>
      <c r="AK82" s="39">
        <v>27.930058479309082</v>
      </c>
      <c r="AL82" s="24" t="s">
        <v>32</v>
      </c>
      <c r="AM82" s="68">
        <f t="shared" si="21"/>
        <v>99.081518837316096</v>
      </c>
      <c r="AP82" s="4" t="s">
        <v>440</v>
      </c>
      <c r="AQ82" s="24" t="s">
        <v>32</v>
      </c>
      <c r="AR82" s="44">
        <f t="shared" si="22"/>
        <v>1.1091270446777344</v>
      </c>
      <c r="AS82" s="44">
        <f t="shared" si="23"/>
        <v>-0.56366157531738281</v>
      </c>
      <c r="AT82" s="44">
        <f t="shared" si="24"/>
        <v>0.52873611450195312</v>
      </c>
      <c r="AU82" s="44">
        <f t="shared" si="25"/>
        <v>-0.99838352203369141</v>
      </c>
      <c r="AV82" s="44">
        <f t="shared" si="26"/>
        <v>10.023443222045898</v>
      </c>
      <c r="AW82" s="44">
        <f t="shared" si="27"/>
        <v>7.1212797164916992</v>
      </c>
      <c r="AX82" s="44">
        <f t="shared" si="28"/>
        <v>5.2896823883056641</v>
      </c>
      <c r="AY82" s="44">
        <f t="shared" si="29"/>
        <v>4.1890621185302734</v>
      </c>
      <c r="AZ82" s="44">
        <f t="shared" si="30"/>
        <v>7.0304651260375977</v>
      </c>
      <c r="BA82" s="44"/>
      <c r="BB82" s="4" t="s">
        <v>440</v>
      </c>
      <c r="BC82" s="24" t="s">
        <v>32</v>
      </c>
      <c r="BD82" s="44" t="e">
        <f>AR82*#REF!</f>
        <v>#REF!</v>
      </c>
      <c r="BE82" s="44" t="e">
        <f>AS82*#REF!</f>
        <v>#REF!</v>
      </c>
      <c r="BF82" s="44" t="e">
        <f>AT82*#REF!</f>
        <v>#REF!</v>
      </c>
      <c r="BG82" s="44" t="e">
        <f>AU82*#REF!</f>
        <v>#REF!</v>
      </c>
      <c r="BH82" s="44" t="e">
        <f>AV82*#REF!</f>
        <v>#REF!</v>
      </c>
      <c r="BI82" s="44" t="e">
        <f>AW82*#REF!</f>
        <v>#REF!</v>
      </c>
      <c r="BJ82" s="44" t="e">
        <f>AX82*#REF!</f>
        <v>#REF!</v>
      </c>
      <c r="BK82" s="44" t="e">
        <f>AY82*#REF!</f>
        <v>#REF!</v>
      </c>
      <c r="BL82" s="44" t="e">
        <f>AZ82*#REF!</f>
        <v>#REF!</v>
      </c>
      <c r="BM82" s="44" t="e">
        <f t="shared" si="31"/>
        <v>#REF!</v>
      </c>
      <c r="BN82" s="83" t="e">
        <f t="shared" si="32"/>
        <v>#REF!</v>
      </c>
      <c r="BP82" s="87">
        <v>99.081518837316096</v>
      </c>
      <c r="BQ82" s="87">
        <v>0.95200868374498393</v>
      </c>
    </row>
    <row r="83" spans="1:69" s="25" customFormat="1" ht="18">
      <c r="A83" s="3" t="s">
        <v>276</v>
      </c>
      <c r="B83" s="3">
        <v>57</v>
      </c>
      <c r="C83" s="21">
        <v>57</v>
      </c>
      <c r="D83" s="22" t="s">
        <v>174</v>
      </c>
      <c r="E83" s="23" t="s">
        <v>342</v>
      </c>
      <c r="F83" s="3"/>
      <c r="G83" s="3"/>
      <c r="H83" s="4" t="s">
        <v>495</v>
      </c>
      <c r="I83" s="24" t="s">
        <v>32</v>
      </c>
      <c r="J83" s="24">
        <v>88</v>
      </c>
      <c r="K83" s="24" t="s">
        <v>118</v>
      </c>
      <c r="L83" s="35">
        <v>20201118</v>
      </c>
      <c r="M83" s="3"/>
      <c r="N83" s="3"/>
      <c r="O83" s="3">
        <v>17.87</v>
      </c>
      <c r="P83" s="3">
        <v>1.19</v>
      </c>
      <c r="Q83" s="3">
        <v>0.4</v>
      </c>
      <c r="R83" s="3">
        <v>30</v>
      </c>
      <c r="S83" s="3">
        <v>536</v>
      </c>
      <c r="T83" s="39">
        <v>27.387805938720703</v>
      </c>
      <c r="U83" s="39">
        <v>27.830202102661133</v>
      </c>
      <c r="V83" s="39">
        <v>26.173428535461426</v>
      </c>
      <c r="W83" s="39">
        <v>27.494235992431641</v>
      </c>
      <c r="X83" s="39">
        <v>28.13809871673584</v>
      </c>
      <c r="Y83" s="39">
        <v>26.784426689147949</v>
      </c>
      <c r="Z83" s="39">
        <v>26.719878196716309</v>
      </c>
      <c r="AA83" s="39">
        <v>27.165315628051758</v>
      </c>
      <c r="AB83" s="39">
        <v>39.324909210205078</v>
      </c>
      <c r="AC83" s="39">
        <v>29.402429580688477</v>
      </c>
      <c r="AD83" s="39">
        <v>32.797332763671875</v>
      </c>
      <c r="AE83" s="39">
        <v>27.544928550720215</v>
      </c>
      <c r="AF83" s="39">
        <v>34.278020858764648</v>
      </c>
      <c r="AG83" s="39">
        <v>27.604161262512207</v>
      </c>
      <c r="AH83" s="39">
        <v>30.24573802947998</v>
      </c>
      <c r="AI83" s="39">
        <v>27.360048294067383</v>
      </c>
      <c r="AJ83" s="39">
        <v>34.954616546630859</v>
      </c>
      <c r="AK83" s="39">
        <v>27.57879638671875</v>
      </c>
      <c r="AL83" s="24" t="s">
        <v>32</v>
      </c>
      <c r="AM83" s="68">
        <f t="shared" si="21"/>
        <v>79.199435933896382</v>
      </c>
      <c r="AP83" s="4" t="s">
        <v>495</v>
      </c>
      <c r="AQ83" s="24" t="s">
        <v>32</v>
      </c>
      <c r="AR83" s="44">
        <f t="shared" si="22"/>
        <v>-0.44239616394042969</v>
      </c>
      <c r="AS83" s="44">
        <f t="shared" si="23"/>
        <v>-1.3208074569702148</v>
      </c>
      <c r="AT83" s="44">
        <f t="shared" si="24"/>
        <v>1.3536720275878906</v>
      </c>
      <c r="AU83" s="44">
        <f t="shared" si="25"/>
        <v>-0.44543743133544922</v>
      </c>
      <c r="AV83" s="44">
        <f t="shared" si="26"/>
        <v>9.9224796295166016</v>
      </c>
      <c r="AW83" s="44">
        <f t="shared" si="27"/>
        <v>5.2524042129516602</v>
      </c>
      <c r="AX83" s="44">
        <f t="shared" si="28"/>
        <v>6.6738595962524414</v>
      </c>
      <c r="AY83" s="44">
        <f t="shared" si="29"/>
        <v>2.8856897354125977</v>
      </c>
      <c r="AZ83" s="44">
        <f t="shared" si="30"/>
        <v>7.3758201599121094</v>
      </c>
      <c r="BA83" s="44"/>
      <c r="BB83" s="4" t="s">
        <v>495</v>
      </c>
      <c r="BC83" s="24" t="s">
        <v>32</v>
      </c>
      <c r="BD83" s="44" t="e">
        <f>AR83*#REF!</f>
        <v>#REF!</v>
      </c>
      <c r="BE83" s="44" t="e">
        <f>AS83*#REF!</f>
        <v>#REF!</v>
      </c>
      <c r="BF83" s="44" t="e">
        <f>AT83*#REF!</f>
        <v>#REF!</v>
      </c>
      <c r="BG83" s="44" t="e">
        <f>AU83*#REF!</f>
        <v>#REF!</v>
      </c>
      <c r="BH83" s="44" t="e">
        <f>AV83*#REF!</f>
        <v>#REF!</v>
      </c>
      <c r="BI83" s="44" t="e">
        <f>AW83*#REF!</f>
        <v>#REF!</v>
      </c>
      <c r="BJ83" s="44" t="e">
        <f>AX83*#REF!</f>
        <v>#REF!</v>
      </c>
      <c r="BK83" s="44" t="e">
        <f>AY83*#REF!</f>
        <v>#REF!</v>
      </c>
      <c r="BL83" s="44" t="e">
        <f>AZ83*#REF!</f>
        <v>#REF!</v>
      </c>
      <c r="BM83" s="44" t="e">
        <f t="shared" si="31"/>
        <v>#REF!</v>
      </c>
      <c r="BN83" s="83" t="e">
        <f t="shared" si="32"/>
        <v>#REF!</v>
      </c>
      <c r="BP83" s="87">
        <v>79.199435933896382</v>
      </c>
      <c r="BQ83" s="87">
        <v>0.90483232574463923</v>
      </c>
    </row>
    <row r="84" spans="1:69" s="25" customFormat="1" ht="18">
      <c r="A84" s="3" t="s">
        <v>276</v>
      </c>
      <c r="B84" s="3">
        <v>58</v>
      </c>
      <c r="C84" s="21">
        <v>58</v>
      </c>
      <c r="D84" s="22" t="s">
        <v>175</v>
      </c>
      <c r="E84" s="23" t="s">
        <v>343</v>
      </c>
      <c r="F84" s="3"/>
      <c r="G84" s="3"/>
      <c r="H84" s="4" t="s">
        <v>496</v>
      </c>
      <c r="I84" s="24" t="s">
        <v>32</v>
      </c>
      <c r="J84" s="24">
        <v>89</v>
      </c>
      <c r="K84" s="24" t="s">
        <v>118</v>
      </c>
      <c r="L84" s="35">
        <v>20191204</v>
      </c>
      <c r="M84" s="3"/>
      <c r="N84" s="3"/>
      <c r="O84" s="3">
        <v>18.71</v>
      </c>
      <c r="P84" s="3">
        <v>1.19</v>
      </c>
      <c r="Q84" s="3">
        <v>0.39</v>
      </c>
      <c r="R84" s="3">
        <v>30</v>
      </c>
      <c r="S84" s="3">
        <v>561.4</v>
      </c>
      <c r="T84" s="39">
        <v>26.563999176025391</v>
      </c>
      <c r="U84" s="39">
        <v>26.635309219360352</v>
      </c>
      <c r="V84" s="39">
        <v>25.17503547668457</v>
      </c>
      <c r="W84" s="39">
        <v>26.441934585571289</v>
      </c>
      <c r="X84" s="39">
        <v>24.479016304016113</v>
      </c>
      <c r="Y84" s="39">
        <v>25.308919906616211</v>
      </c>
      <c r="Z84" s="39">
        <v>25.242859840393066</v>
      </c>
      <c r="AA84" s="39">
        <v>25.955435752868652</v>
      </c>
      <c r="AB84" s="39">
        <v>37.082662582397461</v>
      </c>
      <c r="AC84" s="39">
        <v>28.273919105529785</v>
      </c>
      <c r="AD84" s="39">
        <v>32.520700454711914</v>
      </c>
      <c r="AE84" s="39">
        <v>26.53745174407959</v>
      </c>
      <c r="AF84" s="39">
        <v>31.317476272583008</v>
      </c>
      <c r="AG84" s="39">
        <v>26.480889320373535</v>
      </c>
      <c r="AH84" s="39">
        <v>29.672581672668457</v>
      </c>
      <c r="AI84" s="39">
        <v>26.244926452636719</v>
      </c>
      <c r="AJ84" s="39">
        <v>33.734500885009766</v>
      </c>
      <c r="AK84" s="39">
        <v>26.369638442993164</v>
      </c>
      <c r="AL84" s="24" t="s">
        <v>32</v>
      </c>
      <c r="AM84" s="68">
        <f t="shared" si="21"/>
        <v>99.495917612756131</v>
      </c>
      <c r="AP84" s="4" t="s">
        <v>496</v>
      </c>
      <c r="AQ84" s="24" t="s">
        <v>32</v>
      </c>
      <c r="AR84" s="44">
        <f t="shared" si="22"/>
        <v>-7.1310043334960938E-2</v>
      </c>
      <c r="AS84" s="44">
        <f t="shared" si="23"/>
        <v>-1.2668991088867188</v>
      </c>
      <c r="AT84" s="44">
        <f t="shared" si="24"/>
        <v>-0.82990360260009766</v>
      </c>
      <c r="AU84" s="44">
        <f t="shared" si="25"/>
        <v>-0.71257591247558594</v>
      </c>
      <c r="AV84" s="44">
        <f t="shared" si="26"/>
        <v>8.8087434768676758</v>
      </c>
      <c r="AW84" s="44">
        <f t="shared" si="27"/>
        <v>5.9832487106323242</v>
      </c>
      <c r="AX84" s="44">
        <f t="shared" si="28"/>
        <v>4.8365869522094727</v>
      </c>
      <c r="AY84" s="44">
        <f t="shared" si="29"/>
        <v>3.4276552200317383</v>
      </c>
      <c r="AZ84" s="44">
        <f t="shared" si="30"/>
        <v>7.3648624420166016</v>
      </c>
      <c r="BA84" s="44"/>
      <c r="BB84" s="4" t="s">
        <v>496</v>
      </c>
      <c r="BC84" s="24" t="s">
        <v>32</v>
      </c>
      <c r="BD84" s="44" t="e">
        <f>AR84*#REF!</f>
        <v>#REF!</v>
      </c>
      <c r="BE84" s="44" t="e">
        <f>AS84*#REF!</f>
        <v>#REF!</v>
      </c>
      <c r="BF84" s="44" t="e">
        <f>AT84*#REF!</f>
        <v>#REF!</v>
      </c>
      <c r="BG84" s="44" t="e">
        <f>AU84*#REF!</f>
        <v>#REF!</v>
      </c>
      <c r="BH84" s="44" t="e">
        <f>AV84*#REF!</f>
        <v>#REF!</v>
      </c>
      <c r="BI84" s="44" t="e">
        <f>AW84*#REF!</f>
        <v>#REF!</v>
      </c>
      <c r="BJ84" s="44" t="e">
        <f>AX84*#REF!</f>
        <v>#REF!</v>
      </c>
      <c r="BK84" s="44" t="e">
        <f>AY84*#REF!</f>
        <v>#REF!</v>
      </c>
      <c r="BL84" s="44" t="e">
        <f>AZ84*#REF!</f>
        <v>#REF!</v>
      </c>
      <c r="BM84" s="44" t="e">
        <f t="shared" si="31"/>
        <v>#REF!</v>
      </c>
      <c r="BN84" s="83" t="e">
        <f t="shared" si="32"/>
        <v>#REF!</v>
      </c>
      <c r="BP84" s="87">
        <v>99.495917612756131</v>
      </c>
      <c r="BQ84" s="87">
        <v>0.99087781131456798</v>
      </c>
    </row>
    <row r="85" spans="1:69" s="25" customFormat="1" ht="18">
      <c r="A85" s="3" t="s">
        <v>276</v>
      </c>
      <c r="B85" s="3">
        <v>59</v>
      </c>
      <c r="C85" s="21">
        <v>59</v>
      </c>
      <c r="D85" s="22" t="s">
        <v>176</v>
      </c>
      <c r="E85" s="23" t="s">
        <v>344</v>
      </c>
      <c r="F85" s="3"/>
      <c r="G85" s="3"/>
      <c r="H85" s="4" t="s">
        <v>497</v>
      </c>
      <c r="I85" s="24" t="s">
        <v>32</v>
      </c>
      <c r="J85" s="24">
        <v>89</v>
      </c>
      <c r="K85" s="24" t="s">
        <v>118</v>
      </c>
      <c r="L85" s="35"/>
      <c r="M85" s="3"/>
      <c r="N85" s="3"/>
      <c r="O85" s="3">
        <v>20.56</v>
      </c>
      <c r="P85" s="3">
        <v>1.21</v>
      </c>
      <c r="Q85" s="3">
        <v>0.41</v>
      </c>
      <c r="R85" s="3">
        <v>30</v>
      </c>
      <c r="S85" s="3">
        <v>616.70000000000005</v>
      </c>
      <c r="T85" s="39">
        <v>26.661054611206055</v>
      </c>
      <c r="U85" s="39">
        <v>25.764450073242188</v>
      </c>
      <c r="V85" s="39">
        <v>25.429746627807617</v>
      </c>
      <c r="W85" s="39">
        <v>25.620536804199219</v>
      </c>
      <c r="X85" s="39">
        <v>24.775301933288574</v>
      </c>
      <c r="Y85" s="39">
        <v>24.546710014343262</v>
      </c>
      <c r="Z85" s="39">
        <v>24.846384048461914</v>
      </c>
      <c r="AA85" s="39">
        <v>25.154550552368164</v>
      </c>
      <c r="AB85" s="39">
        <v>37.712181091308594</v>
      </c>
      <c r="AC85" s="39">
        <v>27.182987213134766</v>
      </c>
      <c r="AD85" s="39">
        <v>33.233705520629883</v>
      </c>
      <c r="AE85" s="39">
        <v>25.677406311035156</v>
      </c>
      <c r="AF85" s="39">
        <v>31.426083564758301</v>
      </c>
      <c r="AG85" s="39">
        <v>25.616722106933594</v>
      </c>
      <c r="AH85" s="39">
        <v>30.229137420654297</v>
      </c>
      <c r="AI85" s="39">
        <v>25.584815979003906</v>
      </c>
      <c r="AJ85" s="39">
        <v>32.794898986816406</v>
      </c>
      <c r="AK85" s="39">
        <v>25.551692962646484</v>
      </c>
      <c r="AL85" s="24" t="s">
        <v>32</v>
      </c>
      <c r="AM85" s="68">
        <f t="shared" si="21"/>
        <v>96.901488108492458</v>
      </c>
      <c r="AP85" s="4" t="s">
        <v>497</v>
      </c>
      <c r="AQ85" s="24" t="s">
        <v>32</v>
      </c>
      <c r="AR85" s="44">
        <f t="shared" si="22"/>
        <v>0.89660453796386719</v>
      </c>
      <c r="AS85" s="44">
        <f t="shared" si="23"/>
        <v>-0.19079017639160156</v>
      </c>
      <c r="AT85" s="44">
        <f t="shared" si="24"/>
        <v>0.2285919189453125</v>
      </c>
      <c r="AU85" s="44">
        <f t="shared" si="25"/>
        <v>-0.30816650390625</v>
      </c>
      <c r="AV85" s="44">
        <f t="shared" si="26"/>
        <v>10.529193878173828</v>
      </c>
      <c r="AW85" s="44">
        <f t="shared" si="27"/>
        <v>7.5562992095947266</v>
      </c>
      <c r="AX85" s="44">
        <f t="shared" si="28"/>
        <v>5.809361457824707</v>
      </c>
      <c r="AY85" s="44">
        <f t="shared" si="29"/>
        <v>4.6443214416503906</v>
      </c>
      <c r="AZ85" s="44">
        <f t="shared" si="30"/>
        <v>7.2432060241699219</v>
      </c>
      <c r="BA85" s="44"/>
      <c r="BB85" s="4" t="s">
        <v>497</v>
      </c>
      <c r="BC85" s="24" t="s">
        <v>32</v>
      </c>
      <c r="BD85" s="44" t="e">
        <f>AR85*#REF!</f>
        <v>#REF!</v>
      </c>
      <c r="BE85" s="44" t="e">
        <f>AS85*#REF!</f>
        <v>#REF!</v>
      </c>
      <c r="BF85" s="44" t="e">
        <f>AT85*#REF!</f>
        <v>#REF!</v>
      </c>
      <c r="BG85" s="44" t="e">
        <f>AU85*#REF!</f>
        <v>#REF!</v>
      </c>
      <c r="BH85" s="44" t="e">
        <f>AV85*#REF!</f>
        <v>#REF!</v>
      </c>
      <c r="BI85" s="44" t="e">
        <f>AW85*#REF!</f>
        <v>#REF!</v>
      </c>
      <c r="BJ85" s="44" t="e">
        <f>AX85*#REF!</f>
        <v>#REF!</v>
      </c>
      <c r="BK85" s="44" t="e">
        <f>AY85*#REF!</f>
        <v>#REF!</v>
      </c>
      <c r="BL85" s="44" t="e">
        <f>AZ85*#REF!</f>
        <v>#REF!</v>
      </c>
      <c r="BM85" s="44" t="e">
        <f t="shared" si="31"/>
        <v>#REF!</v>
      </c>
      <c r="BN85" s="83" t="e">
        <f t="shared" si="32"/>
        <v>#REF!</v>
      </c>
      <c r="BP85" s="87">
        <v>96.901488108492458</v>
      </c>
      <c r="BQ85" s="87">
        <v>0.9243186819471626</v>
      </c>
    </row>
    <row r="86" spans="1:69" s="25" customFormat="1" ht="18">
      <c r="A86" s="3" t="s">
        <v>276</v>
      </c>
      <c r="B86" s="3">
        <v>60</v>
      </c>
      <c r="C86" s="21">
        <v>60</v>
      </c>
      <c r="D86" s="22" t="s">
        <v>177</v>
      </c>
      <c r="E86" s="23" t="s">
        <v>345</v>
      </c>
      <c r="F86" s="3"/>
      <c r="G86" s="3"/>
      <c r="H86" s="4" t="s">
        <v>498</v>
      </c>
      <c r="I86" s="24" t="s">
        <v>32</v>
      </c>
      <c r="J86" s="24">
        <v>89</v>
      </c>
      <c r="K86" s="24" t="s">
        <v>118</v>
      </c>
      <c r="L86" s="35">
        <v>20200907</v>
      </c>
      <c r="M86" s="3"/>
      <c r="N86" s="3"/>
      <c r="O86" s="3">
        <v>18.899999999999999</v>
      </c>
      <c r="P86" s="3">
        <v>1.19</v>
      </c>
      <c r="Q86" s="3">
        <v>0.4</v>
      </c>
      <c r="R86" s="3">
        <v>30</v>
      </c>
      <c r="S86" s="3">
        <v>567.1</v>
      </c>
      <c r="T86" s="39">
        <v>26.780858039855957</v>
      </c>
      <c r="U86" s="39">
        <v>30.371376037597656</v>
      </c>
      <c r="V86" s="39">
        <v>21.482681274414062</v>
      </c>
      <c r="W86" s="39">
        <v>28.669870376586914</v>
      </c>
      <c r="X86" s="39">
        <v>30.352423667907715</v>
      </c>
      <c r="Y86" s="39">
        <v>29.794229507446289</v>
      </c>
      <c r="Z86" s="39">
        <v>26.263741493225098</v>
      </c>
      <c r="AA86" s="39">
        <v>29.707615852355957</v>
      </c>
      <c r="AB86" s="39">
        <v>37.133106231689453</v>
      </c>
      <c r="AC86" s="39">
        <v>32.675991058349609</v>
      </c>
      <c r="AD86" s="39">
        <v>30.985072135925293</v>
      </c>
      <c r="AE86" s="39">
        <v>30.418071746826172</v>
      </c>
      <c r="AF86" s="39">
        <v>34.035009384155273</v>
      </c>
      <c r="AG86" s="39">
        <v>30.820921897888184</v>
      </c>
      <c r="AH86" s="39">
        <v>28.989316940307617</v>
      </c>
      <c r="AI86" s="39">
        <v>29.65910530090332</v>
      </c>
      <c r="AJ86" s="39">
        <v>32.552577972412109</v>
      </c>
      <c r="AK86" s="39">
        <v>30.402401924133301</v>
      </c>
      <c r="AL86" s="24" t="s">
        <v>32</v>
      </c>
      <c r="AM86" s="68">
        <f t="shared" si="21"/>
        <v>99.949024030024503</v>
      </c>
      <c r="AP86" s="4" t="s">
        <v>498</v>
      </c>
      <c r="AQ86" s="24" t="s">
        <v>32</v>
      </c>
      <c r="AR86" s="44">
        <f t="shared" si="22"/>
        <v>-3.5905179977416992</v>
      </c>
      <c r="AS86" s="44">
        <f t="shared" si="23"/>
        <v>-7.1871891021728516</v>
      </c>
      <c r="AT86" s="44">
        <f t="shared" si="24"/>
        <v>0.55819416046142578</v>
      </c>
      <c r="AU86" s="44">
        <f t="shared" si="25"/>
        <v>-3.4438743591308594</v>
      </c>
      <c r="AV86" s="44">
        <f t="shared" si="26"/>
        <v>4.4571151733398438</v>
      </c>
      <c r="AW86" s="44">
        <f t="shared" si="27"/>
        <v>0.56700038909912109</v>
      </c>
      <c r="AX86" s="44">
        <f t="shared" si="28"/>
        <v>3.2140874862670898</v>
      </c>
      <c r="AY86" s="44">
        <f t="shared" si="29"/>
        <v>-0.66978836059570312</v>
      </c>
      <c r="AZ86" s="44">
        <f t="shared" si="30"/>
        <v>2.1501760482788086</v>
      </c>
      <c r="BA86" s="44"/>
      <c r="BB86" s="4" t="s">
        <v>498</v>
      </c>
      <c r="BC86" s="24" t="s">
        <v>32</v>
      </c>
      <c r="BD86" s="44" t="e">
        <f>AR86*#REF!</f>
        <v>#REF!</v>
      </c>
      <c r="BE86" s="44" t="e">
        <f>AS86*#REF!</f>
        <v>#REF!</v>
      </c>
      <c r="BF86" s="44" t="e">
        <f>AT86*#REF!</f>
        <v>#REF!</v>
      </c>
      <c r="BG86" s="44" t="e">
        <f>AU86*#REF!</f>
        <v>#REF!</v>
      </c>
      <c r="BH86" s="44" t="e">
        <f>AV86*#REF!</f>
        <v>#REF!</v>
      </c>
      <c r="BI86" s="44" t="e">
        <f>AW86*#REF!</f>
        <v>#REF!</v>
      </c>
      <c r="BJ86" s="44" t="e">
        <f>AX86*#REF!</f>
        <v>#REF!</v>
      </c>
      <c r="BK86" s="44" t="e">
        <f>AY86*#REF!</f>
        <v>#REF!</v>
      </c>
      <c r="BL86" s="44" t="e">
        <f>AZ86*#REF!</f>
        <v>#REF!</v>
      </c>
      <c r="BM86" s="44" t="e">
        <f t="shared" si="31"/>
        <v>#REF!</v>
      </c>
      <c r="BN86" s="83" t="e">
        <f t="shared" si="32"/>
        <v>#REF!</v>
      </c>
      <c r="BP86" s="87">
        <v>99.949024030024503</v>
      </c>
      <c r="BQ86" s="87">
        <v>0.99939032448763832</v>
      </c>
    </row>
    <row r="87" spans="1:69" s="25" customFormat="1" ht="18">
      <c r="A87" s="3" t="s">
        <v>276</v>
      </c>
      <c r="B87" s="3">
        <v>61</v>
      </c>
      <c r="C87" s="21">
        <v>61</v>
      </c>
      <c r="D87" s="22" t="s">
        <v>178</v>
      </c>
      <c r="E87" s="23" t="s">
        <v>346</v>
      </c>
      <c r="F87" s="3"/>
      <c r="G87" s="3"/>
      <c r="H87" s="4" t="s">
        <v>499</v>
      </c>
      <c r="I87" s="24" t="s">
        <v>32</v>
      </c>
      <c r="J87" s="24">
        <v>89</v>
      </c>
      <c r="K87" s="24" t="s">
        <v>118</v>
      </c>
      <c r="L87" s="35">
        <v>20201001</v>
      </c>
      <c r="M87" s="3"/>
      <c r="N87" s="3"/>
      <c r="O87" s="3">
        <v>15.47</v>
      </c>
      <c r="P87" s="3">
        <v>1.1599999999999999</v>
      </c>
      <c r="Q87" s="3">
        <v>0.38</v>
      </c>
      <c r="R87" s="3">
        <v>30</v>
      </c>
      <c r="S87" s="3">
        <v>464.1</v>
      </c>
      <c r="T87" s="39">
        <v>26.571465492248535</v>
      </c>
      <c r="U87" s="39">
        <v>29.311144828796387</v>
      </c>
      <c r="V87" s="39">
        <v>25.655062675476074</v>
      </c>
      <c r="W87" s="39">
        <v>29.094478607177734</v>
      </c>
      <c r="X87" s="39">
        <v>29.887543678283691</v>
      </c>
      <c r="Y87" s="39">
        <v>29.217620849609375</v>
      </c>
      <c r="Z87" s="39">
        <v>25.034560203552246</v>
      </c>
      <c r="AA87" s="39">
        <v>28.934197425842285</v>
      </c>
      <c r="AB87" s="39">
        <v>37.525472640991211</v>
      </c>
      <c r="AC87" s="39">
        <v>31.342690467834473</v>
      </c>
      <c r="AD87" s="39">
        <v>30.848012924194336</v>
      </c>
      <c r="AE87" s="39">
        <v>30.113772392272949</v>
      </c>
      <c r="AF87" s="39">
        <v>36.837398529052734</v>
      </c>
      <c r="AG87" s="39">
        <v>31.052578926086426</v>
      </c>
      <c r="AH87" s="39">
        <v>28.977593421936035</v>
      </c>
      <c r="AI87" s="39">
        <v>29.486730575561523</v>
      </c>
      <c r="AJ87" s="39">
        <v>33.297201156616211</v>
      </c>
      <c r="AK87" s="39">
        <v>30.817417144775391</v>
      </c>
      <c r="AL87" s="24" t="s">
        <v>32</v>
      </c>
      <c r="AM87" s="68">
        <f t="shared" si="21"/>
        <v>94.211036608036963</v>
      </c>
      <c r="AP87" s="4" t="s">
        <v>499</v>
      </c>
      <c r="AQ87" s="24" t="s">
        <v>32</v>
      </c>
      <c r="AR87" s="44">
        <f t="shared" si="22"/>
        <v>-2.7396793365478516</v>
      </c>
      <c r="AS87" s="44">
        <f t="shared" si="23"/>
        <v>-3.4394159317016602</v>
      </c>
      <c r="AT87" s="44">
        <f t="shared" si="24"/>
        <v>0.66992282867431641</v>
      </c>
      <c r="AU87" s="44">
        <f t="shared" si="25"/>
        <v>-3.8996372222900391</v>
      </c>
      <c r="AV87" s="44">
        <f t="shared" si="26"/>
        <v>6.1827821731567383</v>
      </c>
      <c r="AW87" s="44">
        <f t="shared" si="27"/>
        <v>0.73424053192138672</v>
      </c>
      <c r="AX87" s="44">
        <f t="shared" si="28"/>
        <v>5.7848196029663086</v>
      </c>
      <c r="AY87" s="44">
        <f t="shared" si="29"/>
        <v>-0.50913715362548828</v>
      </c>
      <c r="AZ87" s="44">
        <f t="shared" si="30"/>
        <v>2.4797840118408203</v>
      </c>
      <c r="BA87" s="44"/>
      <c r="BB87" s="4" t="s">
        <v>499</v>
      </c>
      <c r="BC87" s="24" t="s">
        <v>32</v>
      </c>
      <c r="BD87" s="44" t="e">
        <f>AR87*#REF!</f>
        <v>#REF!</v>
      </c>
      <c r="BE87" s="44" t="e">
        <f>AS87*#REF!</f>
        <v>#REF!</v>
      </c>
      <c r="BF87" s="44" t="e">
        <f>AT87*#REF!</f>
        <v>#REF!</v>
      </c>
      <c r="BG87" s="44" t="e">
        <f>AU87*#REF!</f>
        <v>#REF!</v>
      </c>
      <c r="BH87" s="44" t="e">
        <f>AV87*#REF!</f>
        <v>#REF!</v>
      </c>
      <c r="BI87" s="44" t="e">
        <f>AW87*#REF!</f>
        <v>#REF!</v>
      </c>
      <c r="BJ87" s="44" t="e">
        <f>AX87*#REF!</f>
        <v>#REF!</v>
      </c>
      <c r="BK87" s="44" t="e">
        <f>AY87*#REF!</f>
        <v>#REF!</v>
      </c>
      <c r="BL87" s="44" t="e">
        <f>AZ87*#REF!</f>
        <v>#REF!</v>
      </c>
      <c r="BM87" s="44" t="e">
        <f t="shared" si="31"/>
        <v>#REF!</v>
      </c>
      <c r="BN87" s="83" t="e">
        <f t="shared" si="32"/>
        <v>#REF!</v>
      </c>
      <c r="BP87" s="87">
        <v>94.211036608036963</v>
      </c>
      <c r="BQ87" s="87">
        <v>0.98050150649811207</v>
      </c>
    </row>
    <row r="88" spans="1:69" s="25" customFormat="1" ht="18">
      <c r="A88" s="3" t="s">
        <v>276</v>
      </c>
      <c r="B88" s="3">
        <v>62</v>
      </c>
      <c r="C88" s="21">
        <v>62</v>
      </c>
      <c r="D88" s="22" t="s">
        <v>179</v>
      </c>
      <c r="E88" s="23" t="s">
        <v>347</v>
      </c>
      <c r="F88" s="3"/>
      <c r="G88" s="3"/>
      <c r="H88" s="4" t="s">
        <v>500</v>
      </c>
      <c r="I88" s="24" t="s">
        <v>32</v>
      </c>
      <c r="J88" s="24">
        <v>89</v>
      </c>
      <c r="K88" s="24" t="s">
        <v>118</v>
      </c>
      <c r="L88" s="35">
        <v>20190701</v>
      </c>
      <c r="M88" s="3"/>
      <c r="N88" s="3"/>
      <c r="O88" s="3">
        <v>16.96</v>
      </c>
      <c r="P88" s="3">
        <v>1.2</v>
      </c>
      <c r="Q88" s="3">
        <v>0.39</v>
      </c>
      <c r="R88" s="3">
        <v>30</v>
      </c>
      <c r="S88" s="3">
        <v>508.7</v>
      </c>
      <c r="T88" s="39">
        <v>25.05665397644043</v>
      </c>
      <c r="U88" s="39">
        <v>25.955465316772461</v>
      </c>
      <c r="V88" s="39">
        <v>24.406115531921387</v>
      </c>
      <c r="W88" s="39">
        <v>25.985210418701172</v>
      </c>
      <c r="X88" s="39">
        <v>25.314711570739746</v>
      </c>
      <c r="Y88" s="39">
        <v>25.982943534851074</v>
      </c>
      <c r="Z88" s="39">
        <v>25.570656776428223</v>
      </c>
      <c r="AA88" s="39">
        <v>26.182986259460449</v>
      </c>
      <c r="AB88" s="39">
        <v>35.837224960327148</v>
      </c>
      <c r="AC88" s="39">
        <v>27.444723129272461</v>
      </c>
      <c r="AD88" s="39">
        <v>30.787890434265137</v>
      </c>
      <c r="AE88" s="39">
        <v>26.120129585266113</v>
      </c>
      <c r="AF88" s="39">
        <v>31.185214996337891</v>
      </c>
      <c r="AG88" s="39">
        <v>26.059123039245605</v>
      </c>
      <c r="AH88" s="39">
        <v>28.37269115447998</v>
      </c>
      <c r="AI88" s="39">
        <v>26.308548927307129</v>
      </c>
      <c r="AJ88" s="39">
        <v>31.919441223144531</v>
      </c>
      <c r="AK88" s="39">
        <v>26.268314361572266</v>
      </c>
      <c r="AL88" s="24" t="s">
        <v>32</v>
      </c>
      <c r="AM88" s="68">
        <f t="shared" si="21"/>
        <v>98.746837300536427</v>
      </c>
      <c r="AP88" s="4" t="s">
        <v>500</v>
      </c>
      <c r="AQ88" s="24" t="s">
        <v>32</v>
      </c>
      <c r="AR88" s="44">
        <f t="shared" si="22"/>
        <v>-0.89881134033203125</v>
      </c>
      <c r="AS88" s="44">
        <f t="shared" si="23"/>
        <v>-1.5790948867797852</v>
      </c>
      <c r="AT88" s="44">
        <f t="shared" si="24"/>
        <v>-0.66823196411132812</v>
      </c>
      <c r="AU88" s="44">
        <f t="shared" si="25"/>
        <v>-0.61232948303222656</v>
      </c>
      <c r="AV88" s="44">
        <f t="shared" si="26"/>
        <v>8.3925018310546875</v>
      </c>
      <c r="AW88" s="44">
        <f t="shared" si="27"/>
        <v>4.6677608489990234</v>
      </c>
      <c r="AX88" s="44">
        <f t="shared" si="28"/>
        <v>5.1260919570922852</v>
      </c>
      <c r="AY88" s="44">
        <f t="shared" si="29"/>
        <v>2.0641422271728516</v>
      </c>
      <c r="AZ88" s="44">
        <f t="shared" si="30"/>
        <v>5.6511268615722656</v>
      </c>
      <c r="BA88" s="44"/>
      <c r="BB88" s="4" t="s">
        <v>500</v>
      </c>
      <c r="BC88" s="24" t="s">
        <v>32</v>
      </c>
      <c r="BD88" s="44" t="e">
        <f>AR88*#REF!</f>
        <v>#REF!</v>
      </c>
      <c r="BE88" s="44" t="e">
        <f>AS88*#REF!</f>
        <v>#REF!</v>
      </c>
      <c r="BF88" s="44" t="e">
        <f>AT88*#REF!</f>
        <v>#REF!</v>
      </c>
      <c r="BG88" s="44" t="e">
        <f>AU88*#REF!</f>
        <v>#REF!</v>
      </c>
      <c r="BH88" s="44" t="e">
        <f>AV88*#REF!</f>
        <v>#REF!</v>
      </c>
      <c r="BI88" s="44" t="e">
        <f>AW88*#REF!</f>
        <v>#REF!</v>
      </c>
      <c r="BJ88" s="44" t="e">
        <f>AX88*#REF!</f>
        <v>#REF!</v>
      </c>
      <c r="BK88" s="44" t="e">
        <f>AY88*#REF!</f>
        <v>#REF!</v>
      </c>
      <c r="BL88" s="44" t="e">
        <f>AZ88*#REF!</f>
        <v>#REF!</v>
      </c>
      <c r="BM88" s="44" t="e">
        <f t="shared" si="31"/>
        <v>#REF!</v>
      </c>
      <c r="BN88" s="83" t="e">
        <f t="shared" si="32"/>
        <v>#REF!</v>
      </c>
      <c r="BP88" s="87">
        <v>98.746837300536427</v>
      </c>
      <c r="BQ88" s="87">
        <v>0.99148120299315701</v>
      </c>
    </row>
    <row r="89" spans="1:69" s="25" customFormat="1" ht="18">
      <c r="A89" s="3" t="s">
        <v>276</v>
      </c>
      <c r="B89" s="3">
        <v>63</v>
      </c>
      <c r="C89" s="21">
        <v>63</v>
      </c>
      <c r="D89" s="22" t="s">
        <v>180</v>
      </c>
      <c r="E89" s="23" t="s">
        <v>348</v>
      </c>
      <c r="F89" s="3"/>
      <c r="G89" s="3"/>
      <c r="H89" s="4" t="s">
        <v>501</v>
      </c>
      <c r="I89" s="29" t="s">
        <v>181</v>
      </c>
      <c r="J89" s="21">
        <v>81</v>
      </c>
      <c r="K89" s="21" t="s">
        <v>118</v>
      </c>
      <c r="L89" s="35">
        <v>20210223</v>
      </c>
      <c r="M89" s="3"/>
      <c r="N89" s="3"/>
      <c r="O89" s="3">
        <v>18.84</v>
      </c>
      <c r="P89" s="3">
        <v>1.2</v>
      </c>
      <c r="Q89" s="3">
        <v>0.41</v>
      </c>
      <c r="R89" s="3">
        <v>30</v>
      </c>
      <c r="S89" s="3">
        <v>565.1</v>
      </c>
      <c r="T89" s="39">
        <v>28.265103340148926</v>
      </c>
      <c r="U89" s="39">
        <v>27.266532897949219</v>
      </c>
      <c r="V89" s="39">
        <v>26.847563743591309</v>
      </c>
      <c r="W89" s="39">
        <v>27.322820663452148</v>
      </c>
      <c r="X89" s="39">
        <v>24.855280876159668</v>
      </c>
      <c r="Y89" s="39">
        <v>26.490262985229492</v>
      </c>
      <c r="Z89" s="39">
        <v>25.56716251373291</v>
      </c>
      <c r="AA89" s="39">
        <v>26.791434288024902</v>
      </c>
      <c r="AB89" s="39">
        <v>37.888908386230469</v>
      </c>
      <c r="AC89" s="39">
        <v>29.023715019226074</v>
      </c>
      <c r="AD89" s="39">
        <v>35.010890960693359</v>
      </c>
      <c r="AE89" s="39">
        <v>27.405125617980957</v>
      </c>
      <c r="AF89" s="39">
        <v>32.836765289306641</v>
      </c>
      <c r="AG89" s="39">
        <v>27.29255485534668</v>
      </c>
      <c r="AH89" s="39">
        <v>31.760761260986328</v>
      </c>
      <c r="AI89" s="39">
        <v>27.398221015930176</v>
      </c>
      <c r="AJ89" s="39">
        <v>34.548852920532227</v>
      </c>
      <c r="AK89" s="39">
        <v>27.452547073364258</v>
      </c>
      <c r="AL89" s="29" t="s">
        <v>181</v>
      </c>
      <c r="AM89" s="68">
        <f t="shared" si="21"/>
        <v>98.983373859768264</v>
      </c>
      <c r="AP89" s="4" t="s">
        <v>501</v>
      </c>
      <c r="AQ89" s="29" t="s">
        <v>181</v>
      </c>
      <c r="AR89" s="44">
        <f t="shared" si="22"/>
        <v>0.99857044219970703</v>
      </c>
      <c r="AS89" s="44">
        <f t="shared" si="23"/>
        <v>-0.47525691986083984</v>
      </c>
      <c r="AT89" s="44">
        <f t="shared" si="24"/>
        <v>-1.6349821090698242</v>
      </c>
      <c r="AU89" s="44">
        <f t="shared" si="25"/>
        <v>-1.2242717742919922</v>
      </c>
      <c r="AV89" s="44">
        <f t="shared" si="26"/>
        <v>8.8651933670043945</v>
      </c>
      <c r="AW89" s="44">
        <f t="shared" si="27"/>
        <v>7.6057653427124023</v>
      </c>
      <c r="AX89" s="44">
        <f t="shared" si="28"/>
        <v>5.5442104339599609</v>
      </c>
      <c r="AY89" s="44">
        <f t="shared" si="29"/>
        <v>4.3625402450561523</v>
      </c>
      <c r="AZ89" s="44">
        <f t="shared" si="30"/>
        <v>7.0963058471679688</v>
      </c>
      <c r="BA89" s="44"/>
      <c r="BB89" s="4" t="s">
        <v>501</v>
      </c>
      <c r="BC89" s="29" t="s">
        <v>181</v>
      </c>
      <c r="BD89" s="44" t="e">
        <f>AR89*#REF!</f>
        <v>#REF!</v>
      </c>
      <c r="BE89" s="44" t="e">
        <f>AS89*#REF!</f>
        <v>#REF!</v>
      </c>
      <c r="BF89" s="44" t="e">
        <f>AT89*#REF!</f>
        <v>#REF!</v>
      </c>
      <c r="BG89" s="44" t="e">
        <f>AU89*#REF!</f>
        <v>#REF!</v>
      </c>
      <c r="BH89" s="44" t="e">
        <f>AV89*#REF!</f>
        <v>#REF!</v>
      </c>
      <c r="BI89" s="44" t="e">
        <f>AW89*#REF!</f>
        <v>#REF!</v>
      </c>
      <c r="BJ89" s="44" t="e">
        <f>AX89*#REF!</f>
        <v>#REF!</v>
      </c>
      <c r="BK89" s="44" t="e">
        <f>AY89*#REF!</f>
        <v>#REF!</v>
      </c>
      <c r="BL89" s="44" t="e">
        <f>AZ89*#REF!</f>
        <v>#REF!</v>
      </c>
      <c r="BM89" s="44" t="e">
        <f t="shared" si="31"/>
        <v>#REF!</v>
      </c>
      <c r="BN89" s="83" t="e">
        <f t="shared" si="32"/>
        <v>#REF!</v>
      </c>
      <c r="BP89" s="87">
        <v>98.983373859768264</v>
      </c>
      <c r="BQ89" s="87">
        <v>0.9756652438779464</v>
      </c>
    </row>
    <row r="90" spans="1:69" s="25" customFormat="1" ht="18">
      <c r="A90" s="3" t="s">
        <v>276</v>
      </c>
      <c r="B90" s="3">
        <v>64</v>
      </c>
      <c r="C90" s="21">
        <v>64</v>
      </c>
      <c r="D90" s="22" t="s">
        <v>182</v>
      </c>
      <c r="E90" s="23" t="s">
        <v>348</v>
      </c>
      <c r="F90" s="3"/>
      <c r="G90" s="3"/>
      <c r="H90" s="4" t="s">
        <v>502</v>
      </c>
      <c r="I90" s="29" t="s">
        <v>181</v>
      </c>
      <c r="J90" s="21">
        <v>81</v>
      </c>
      <c r="K90" s="21" t="s">
        <v>118</v>
      </c>
      <c r="L90" s="35">
        <v>20210223</v>
      </c>
      <c r="M90" s="3"/>
      <c r="N90" s="3"/>
      <c r="O90" s="3">
        <v>18.98</v>
      </c>
      <c r="P90" s="3">
        <v>1.25</v>
      </c>
      <c r="Q90" s="3">
        <v>0.44</v>
      </c>
      <c r="R90" s="3">
        <v>30</v>
      </c>
      <c r="S90" s="3">
        <v>569.5</v>
      </c>
      <c r="T90" s="39">
        <v>25.545275688171387</v>
      </c>
      <c r="U90" s="39">
        <v>26.341487884521484</v>
      </c>
      <c r="V90" s="39">
        <v>24.268305778503418</v>
      </c>
      <c r="W90" s="39">
        <v>26.224525451660156</v>
      </c>
      <c r="X90" s="39">
        <v>25.044020652770996</v>
      </c>
      <c r="Y90" s="39">
        <v>25.761137962341309</v>
      </c>
      <c r="Z90" s="39">
        <v>25.231522560119629</v>
      </c>
      <c r="AA90" s="39">
        <v>26.194801330566406</v>
      </c>
      <c r="AB90" s="39">
        <v>36.548408508300781</v>
      </c>
      <c r="AC90" s="39">
        <v>29.936196327209473</v>
      </c>
      <c r="AD90" s="39">
        <v>31.844086647033691</v>
      </c>
      <c r="AE90" s="39">
        <v>26.699725151062012</v>
      </c>
      <c r="AF90" s="39">
        <v>31.449191093444824</v>
      </c>
      <c r="AG90" s="39">
        <v>26.738495826721191</v>
      </c>
      <c r="AH90" s="39">
        <v>29.629278182983398</v>
      </c>
      <c r="AI90" s="39">
        <v>26.618765830993652</v>
      </c>
      <c r="AJ90" s="39">
        <v>33.933265686035156</v>
      </c>
      <c r="AK90" s="39">
        <v>26.854405403137207</v>
      </c>
      <c r="AL90" s="29" t="s">
        <v>181</v>
      </c>
      <c r="AM90" s="68">
        <f t="shared" si="21"/>
        <v>99.722493360628178</v>
      </c>
      <c r="AP90" s="4" t="s">
        <v>502</v>
      </c>
      <c r="AQ90" s="29" t="s">
        <v>181</v>
      </c>
      <c r="AR90" s="44">
        <f t="shared" si="22"/>
        <v>-0.79621219635009766</v>
      </c>
      <c r="AS90" s="44">
        <f t="shared" si="23"/>
        <v>-1.9562196731567383</v>
      </c>
      <c r="AT90" s="44">
        <f t="shared" si="24"/>
        <v>-0.7171173095703125</v>
      </c>
      <c r="AU90" s="44">
        <f t="shared" si="25"/>
        <v>-0.96327877044677734</v>
      </c>
      <c r="AV90" s="44">
        <f t="shared" si="26"/>
        <v>6.6122121810913086</v>
      </c>
      <c r="AW90" s="44">
        <f t="shared" si="27"/>
        <v>5.1443614959716797</v>
      </c>
      <c r="AX90" s="44">
        <f t="shared" si="28"/>
        <v>4.7106952667236328</v>
      </c>
      <c r="AY90" s="44">
        <f t="shared" si="29"/>
        <v>3.0105123519897461</v>
      </c>
      <c r="AZ90" s="44">
        <f t="shared" si="30"/>
        <v>7.0788602828979492</v>
      </c>
      <c r="BA90" s="44"/>
      <c r="BB90" s="4" t="s">
        <v>502</v>
      </c>
      <c r="BC90" s="29" t="s">
        <v>181</v>
      </c>
      <c r="BD90" s="44" t="e">
        <f>AR90*#REF!</f>
        <v>#REF!</v>
      </c>
      <c r="BE90" s="44" t="e">
        <f>AS90*#REF!</f>
        <v>#REF!</v>
      </c>
      <c r="BF90" s="44" t="e">
        <f>AT90*#REF!</f>
        <v>#REF!</v>
      </c>
      <c r="BG90" s="44" t="e">
        <f>AU90*#REF!</f>
        <v>#REF!</v>
      </c>
      <c r="BH90" s="44" t="e">
        <f>AV90*#REF!</f>
        <v>#REF!</v>
      </c>
      <c r="BI90" s="44" t="e">
        <f>AW90*#REF!</f>
        <v>#REF!</v>
      </c>
      <c r="BJ90" s="44" t="e">
        <f>AX90*#REF!</f>
        <v>#REF!</v>
      </c>
      <c r="BK90" s="44" t="e">
        <f>AY90*#REF!</f>
        <v>#REF!</v>
      </c>
      <c r="BL90" s="44" t="e">
        <f>AZ90*#REF!</f>
        <v>#REF!</v>
      </c>
      <c r="BM90" s="44" t="e">
        <f t="shared" si="31"/>
        <v>#REF!</v>
      </c>
      <c r="BN90" s="83" t="e">
        <f t="shared" si="32"/>
        <v>#REF!</v>
      </c>
      <c r="BP90" s="87">
        <v>99.722493360628178</v>
      </c>
      <c r="BQ90" s="87">
        <v>0.99680112739919635</v>
      </c>
    </row>
    <row r="91" spans="1:69" s="25" customFormat="1" ht="18">
      <c r="A91" s="3" t="s">
        <v>276</v>
      </c>
      <c r="B91" s="3">
        <v>65</v>
      </c>
      <c r="C91" s="21">
        <v>65</v>
      </c>
      <c r="D91" s="3" t="s">
        <v>183</v>
      </c>
      <c r="E91" s="23" t="s">
        <v>349</v>
      </c>
      <c r="F91" s="3"/>
      <c r="G91" s="3"/>
      <c r="H91" s="4" t="s">
        <v>503</v>
      </c>
      <c r="I91" s="3" t="s">
        <v>32</v>
      </c>
      <c r="J91" s="3">
        <v>54</v>
      </c>
      <c r="K91" s="3" t="s">
        <v>184</v>
      </c>
      <c r="L91" s="35">
        <v>20200908</v>
      </c>
      <c r="M91" s="3"/>
      <c r="N91" s="3"/>
      <c r="O91" s="3">
        <v>44.9</v>
      </c>
      <c r="P91" s="3">
        <v>1.33</v>
      </c>
      <c r="Q91" s="3">
        <v>0.49</v>
      </c>
      <c r="R91" s="3">
        <v>30</v>
      </c>
      <c r="S91" s="3">
        <v>1346.9</v>
      </c>
      <c r="T91" s="39">
        <v>24.093791007995605</v>
      </c>
      <c r="U91" s="39">
        <v>24.783601760864258</v>
      </c>
      <c r="V91" s="39">
        <v>23.282258033752441</v>
      </c>
      <c r="W91" s="39">
        <v>24.802731513977051</v>
      </c>
      <c r="X91" s="39">
        <v>25.370465278625488</v>
      </c>
      <c r="Y91" s="39">
        <v>24.481132507324219</v>
      </c>
      <c r="Z91" s="39">
        <v>23.762689590454102</v>
      </c>
      <c r="AA91" s="39">
        <v>24.789593696594238</v>
      </c>
      <c r="AB91" s="39">
        <v>34.939756393432617</v>
      </c>
      <c r="AC91" s="39">
        <v>30.217101097106934</v>
      </c>
      <c r="AD91" s="39">
        <v>31.131847381591797</v>
      </c>
      <c r="AE91" s="39">
        <v>25.427617073059082</v>
      </c>
      <c r="AF91" s="39">
        <v>30.299261093139648</v>
      </c>
      <c r="AG91" s="39">
        <v>25.890474319458008</v>
      </c>
      <c r="AH91" s="39">
        <v>29.744665145874023</v>
      </c>
      <c r="AI91" s="39">
        <v>26.723556518554688</v>
      </c>
      <c r="AJ91" s="39">
        <v>33.392057418823242</v>
      </c>
      <c r="AK91" s="39">
        <v>26.048796653747559</v>
      </c>
      <c r="AL91" s="3" t="s">
        <v>32</v>
      </c>
      <c r="AM91" s="68">
        <f t="shared" si="21"/>
        <v>99.92452066374706</v>
      </c>
      <c r="AP91" s="4" t="s">
        <v>503</v>
      </c>
      <c r="AQ91" s="3" t="s">
        <v>32</v>
      </c>
      <c r="AR91" s="44">
        <f t="shared" si="22"/>
        <v>-0.68981075286865234</v>
      </c>
      <c r="AS91" s="44">
        <f t="shared" si="23"/>
        <v>-1.5204734802246094</v>
      </c>
      <c r="AT91" s="44">
        <f t="shared" si="24"/>
        <v>0.88933277130126953</v>
      </c>
      <c r="AU91" s="44">
        <f t="shared" si="25"/>
        <v>-1.0269041061401367</v>
      </c>
      <c r="AV91" s="44">
        <f t="shared" si="26"/>
        <v>4.7226552963256836</v>
      </c>
      <c r="AW91" s="44">
        <f t="shared" si="27"/>
        <v>5.7042303085327148</v>
      </c>
      <c r="AX91" s="44">
        <f t="shared" si="28"/>
        <v>4.4087867736816406</v>
      </c>
      <c r="AY91" s="44">
        <f t="shared" si="29"/>
        <v>3.0211086273193359</v>
      </c>
      <c r="AZ91" s="44">
        <f t="shared" si="30"/>
        <v>7.3432607650756836</v>
      </c>
      <c r="BA91" s="44"/>
      <c r="BB91" s="4" t="s">
        <v>503</v>
      </c>
      <c r="BC91" s="3" t="s">
        <v>32</v>
      </c>
      <c r="BD91" s="44" t="e">
        <f>AR91*#REF!</f>
        <v>#REF!</v>
      </c>
      <c r="BE91" s="44" t="e">
        <f>AS91*#REF!</f>
        <v>#REF!</v>
      </c>
      <c r="BF91" s="44" t="e">
        <f>AT91*#REF!</f>
        <v>#REF!</v>
      </c>
      <c r="BG91" s="44" t="e">
        <f>AU91*#REF!</f>
        <v>#REF!</v>
      </c>
      <c r="BH91" s="44" t="e">
        <f>AV91*#REF!</f>
        <v>#REF!</v>
      </c>
      <c r="BI91" s="44" t="e">
        <f>AW91*#REF!</f>
        <v>#REF!</v>
      </c>
      <c r="BJ91" s="44" t="e">
        <f>AX91*#REF!</f>
        <v>#REF!</v>
      </c>
      <c r="BK91" s="44" t="e">
        <f>AY91*#REF!</f>
        <v>#REF!</v>
      </c>
      <c r="BL91" s="44" t="e">
        <f>AZ91*#REF!</f>
        <v>#REF!</v>
      </c>
      <c r="BM91" s="44" t="e">
        <f t="shared" si="31"/>
        <v>#REF!</v>
      </c>
      <c r="BN91" s="83" t="e">
        <f t="shared" si="32"/>
        <v>#REF!</v>
      </c>
      <c r="BP91" s="87">
        <v>99.92452066374706</v>
      </c>
      <c r="BQ91" s="87">
        <v>0.99815130863161261</v>
      </c>
    </row>
    <row r="92" spans="1:69" s="25" customFormat="1" ht="18">
      <c r="A92" s="3" t="s">
        <v>276</v>
      </c>
      <c r="B92" s="3">
        <v>66</v>
      </c>
      <c r="C92" s="21">
        <v>66</v>
      </c>
      <c r="D92" s="3" t="s">
        <v>185</v>
      </c>
      <c r="E92" s="23" t="s">
        <v>350</v>
      </c>
      <c r="F92" s="3"/>
      <c r="G92" s="3"/>
      <c r="H92" s="4" t="s">
        <v>504</v>
      </c>
      <c r="I92" s="3" t="s">
        <v>32</v>
      </c>
      <c r="J92" s="3">
        <v>63</v>
      </c>
      <c r="K92" s="3" t="s">
        <v>184</v>
      </c>
      <c r="L92" s="35">
        <v>20201020</v>
      </c>
      <c r="M92" s="3"/>
      <c r="N92" s="3"/>
      <c r="O92" s="3">
        <v>27.2</v>
      </c>
      <c r="P92" s="3">
        <v>1.28</v>
      </c>
      <c r="Q92" s="3">
        <v>0.45</v>
      </c>
      <c r="R92" s="3">
        <v>30</v>
      </c>
      <c r="S92" s="3">
        <v>816</v>
      </c>
      <c r="T92" s="39">
        <v>29.18407154083252</v>
      </c>
      <c r="U92" s="39">
        <v>26.102996826171875</v>
      </c>
      <c r="V92" s="39">
        <v>27.133452415466309</v>
      </c>
      <c r="W92" s="39">
        <v>26.109129905700684</v>
      </c>
      <c r="X92" s="39">
        <v>25.45594310760498</v>
      </c>
      <c r="Y92" s="39">
        <v>25.133261680603027</v>
      </c>
      <c r="Z92" s="39">
        <v>26.504043579101562</v>
      </c>
      <c r="AA92" s="39">
        <v>25.811864852905273</v>
      </c>
      <c r="AB92" s="39">
        <v>38.160686492919922</v>
      </c>
      <c r="AC92" s="39">
        <v>27.68943977355957</v>
      </c>
      <c r="AD92" s="39">
        <v>35.985895156860352</v>
      </c>
      <c r="AE92" s="39">
        <v>26.133116722106934</v>
      </c>
      <c r="AF92" s="39">
        <v>33.328834533691406</v>
      </c>
      <c r="AG92" s="39">
        <v>26.038620948791504</v>
      </c>
      <c r="AH92" s="39">
        <v>32.986101150512695</v>
      </c>
      <c r="AI92" s="39">
        <v>26.181318283081055</v>
      </c>
      <c r="AJ92" s="39">
        <v>35.928089141845703</v>
      </c>
      <c r="AK92" s="39">
        <v>25.993074417114258</v>
      </c>
      <c r="AL92" s="3" t="s">
        <v>32</v>
      </c>
      <c r="AM92" s="68">
        <f t="shared" si="21"/>
        <v>89.419328163423415</v>
      </c>
      <c r="AP92" s="4" t="s">
        <v>504</v>
      </c>
      <c r="AQ92" s="3" t="s">
        <v>32</v>
      </c>
      <c r="AR92" s="44">
        <f t="shared" si="22"/>
        <v>3.0810747146606445</v>
      </c>
      <c r="AS92" s="44">
        <f t="shared" si="23"/>
        <v>1.024322509765625</v>
      </c>
      <c r="AT92" s="44">
        <f t="shared" si="24"/>
        <v>0.32268142700195312</v>
      </c>
      <c r="AU92" s="44">
        <f t="shared" si="25"/>
        <v>0.69217872619628906</v>
      </c>
      <c r="AV92" s="44">
        <f t="shared" si="26"/>
        <v>10.471246719360352</v>
      </c>
      <c r="AW92" s="44">
        <f t="shared" si="27"/>
        <v>9.852778434753418</v>
      </c>
      <c r="AX92" s="44">
        <f t="shared" si="28"/>
        <v>7.2902135848999023</v>
      </c>
      <c r="AY92" s="44">
        <f t="shared" si="29"/>
        <v>6.8047828674316406</v>
      </c>
      <c r="AZ92" s="44">
        <f t="shared" si="30"/>
        <v>9.9350147247314453</v>
      </c>
      <c r="BA92" s="44"/>
      <c r="BB92" s="4" t="s">
        <v>504</v>
      </c>
      <c r="BC92" s="3" t="s">
        <v>32</v>
      </c>
      <c r="BD92" s="44" t="e">
        <f>AR92*#REF!</f>
        <v>#REF!</v>
      </c>
      <c r="BE92" s="44" t="e">
        <f>AS92*#REF!</f>
        <v>#REF!</v>
      </c>
      <c r="BF92" s="44" t="e">
        <f>AT92*#REF!</f>
        <v>#REF!</v>
      </c>
      <c r="BG92" s="44" t="e">
        <f>AU92*#REF!</f>
        <v>#REF!</v>
      </c>
      <c r="BH92" s="44" t="e">
        <f>AV92*#REF!</f>
        <v>#REF!</v>
      </c>
      <c r="BI92" s="44" t="e">
        <f>AW92*#REF!</f>
        <v>#REF!</v>
      </c>
      <c r="BJ92" s="44" t="e">
        <f>AX92*#REF!</f>
        <v>#REF!</v>
      </c>
      <c r="BK92" s="44" t="e">
        <f>AY92*#REF!</f>
        <v>#REF!</v>
      </c>
      <c r="BL92" s="44" t="e">
        <f>AZ92*#REF!</f>
        <v>#REF!</v>
      </c>
      <c r="BM92" s="44" t="e">
        <f t="shared" si="31"/>
        <v>#REF!</v>
      </c>
      <c r="BN92" s="83" t="e">
        <f t="shared" si="32"/>
        <v>#REF!</v>
      </c>
      <c r="BP92" s="87">
        <v>89.419328163423415</v>
      </c>
      <c r="BQ92" s="87">
        <v>0.80318229085569159</v>
      </c>
    </row>
    <row r="93" spans="1:69" s="25" customFormat="1" ht="18">
      <c r="A93" s="3" t="s">
        <v>276</v>
      </c>
      <c r="B93" s="3">
        <v>67</v>
      </c>
      <c r="C93" s="21">
        <v>67</v>
      </c>
      <c r="D93" s="3" t="s">
        <v>186</v>
      </c>
      <c r="E93" s="23" t="s">
        <v>351</v>
      </c>
      <c r="F93" s="3"/>
      <c r="G93" s="3"/>
      <c r="H93" s="4" t="s">
        <v>441</v>
      </c>
      <c r="I93" s="3" t="s">
        <v>32</v>
      </c>
      <c r="J93" s="3">
        <v>72</v>
      </c>
      <c r="K93" s="3" t="s">
        <v>118</v>
      </c>
      <c r="L93" s="35">
        <v>20190911</v>
      </c>
      <c r="M93" s="3"/>
      <c r="N93" s="3"/>
      <c r="O93" s="3">
        <v>33.25</v>
      </c>
      <c r="P93" s="3">
        <v>1.32</v>
      </c>
      <c r="Q93" s="3">
        <v>0.47</v>
      </c>
      <c r="R93" s="3">
        <v>30</v>
      </c>
      <c r="S93" s="3">
        <v>997.6</v>
      </c>
      <c r="T93" s="39">
        <v>25.713464736938477</v>
      </c>
      <c r="U93" s="39">
        <v>25.952950477600098</v>
      </c>
      <c r="V93" s="39">
        <v>24.855395317077637</v>
      </c>
      <c r="W93" s="39">
        <v>25.873378753662109</v>
      </c>
      <c r="X93" s="39">
        <v>24.825348854064941</v>
      </c>
      <c r="Y93" s="39">
        <v>25.068417549133301</v>
      </c>
      <c r="Z93" s="39">
        <v>24.018206596374512</v>
      </c>
      <c r="AA93" s="39">
        <v>25.353578567504883</v>
      </c>
      <c r="AB93" s="39">
        <v>36.033121109008789</v>
      </c>
      <c r="AC93" s="39">
        <v>27.753629684448242</v>
      </c>
      <c r="AD93" s="39">
        <v>32.072541236877441</v>
      </c>
      <c r="AE93" s="39">
        <v>25.992795944213867</v>
      </c>
      <c r="AF93" s="39">
        <v>31.031464576721191</v>
      </c>
      <c r="AG93" s="39">
        <v>26.054354667663574</v>
      </c>
      <c r="AH93" s="39">
        <v>29.520255088806152</v>
      </c>
      <c r="AI93" s="39">
        <v>26.009129524230957</v>
      </c>
      <c r="AJ93" s="39">
        <v>32.936901092529297</v>
      </c>
      <c r="AK93" s="39">
        <v>25.999617576599121</v>
      </c>
      <c r="AL93" s="3" t="s">
        <v>32</v>
      </c>
      <c r="AM93" s="68">
        <f t="shared" si="21"/>
        <v>99.39881243848518</v>
      </c>
      <c r="AP93" s="4" t="s">
        <v>441</v>
      </c>
      <c r="AQ93" s="3" t="s">
        <v>32</v>
      </c>
      <c r="AR93" s="44">
        <f t="shared" si="22"/>
        <v>-0.23948574066162109</v>
      </c>
      <c r="AS93" s="44">
        <f t="shared" si="23"/>
        <v>-1.0179834365844727</v>
      </c>
      <c r="AT93" s="44">
        <f t="shared" si="24"/>
        <v>-0.24306869506835938</v>
      </c>
      <c r="AU93" s="44">
        <f t="shared" si="25"/>
        <v>-1.3353719711303711</v>
      </c>
      <c r="AV93" s="44">
        <f t="shared" si="26"/>
        <v>8.2794914245605469</v>
      </c>
      <c r="AW93" s="44">
        <f t="shared" si="27"/>
        <v>6.0797452926635742</v>
      </c>
      <c r="AX93" s="44">
        <f t="shared" si="28"/>
        <v>4.9771099090576172</v>
      </c>
      <c r="AY93" s="44">
        <f t="shared" si="29"/>
        <v>3.5111255645751953</v>
      </c>
      <c r="AZ93" s="44">
        <f t="shared" si="30"/>
        <v>6.9372835159301758</v>
      </c>
      <c r="BA93" s="44"/>
      <c r="BB93" s="4" t="s">
        <v>441</v>
      </c>
      <c r="BC93" s="3" t="s">
        <v>32</v>
      </c>
      <c r="BD93" s="44" t="e">
        <f>AR93*#REF!</f>
        <v>#REF!</v>
      </c>
      <c r="BE93" s="44" t="e">
        <f>AS93*#REF!</f>
        <v>#REF!</v>
      </c>
      <c r="BF93" s="44" t="e">
        <f>AT93*#REF!</f>
        <v>#REF!</v>
      </c>
      <c r="BG93" s="44" t="e">
        <f>AU93*#REF!</f>
        <v>#REF!</v>
      </c>
      <c r="BH93" s="44" t="e">
        <f>AV93*#REF!</f>
        <v>#REF!</v>
      </c>
      <c r="BI93" s="44" t="e">
        <f>AW93*#REF!</f>
        <v>#REF!</v>
      </c>
      <c r="BJ93" s="44" t="e">
        <f>AX93*#REF!</f>
        <v>#REF!</v>
      </c>
      <c r="BK93" s="44" t="e">
        <f>AY93*#REF!</f>
        <v>#REF!</v>
      </c>
      <c r="BL93" s="44" t="e">
        <f>AZ93*#REF!</f>
        <v>#REF!</v>
      </c>
      <c r="BM93" s="44" t="e">
        <f t="shared" si="31"/>
        <v>#REF!</v>
      </c>
      <c r="BN93" s="83" t="e">
        <f t="shared" si="32"/>
        <v>#REF!</v>
      </c>
      <c r="BP93" s="87">
        <v>99.39881243848518</v>
      </c>
      <c r="BQ93" s="87">
        <v>0.98572962905219907</v>
      </c>
    </row>
    <row r="94" spans="1:69" s="25" customFormat="1" ht="18">
      <c r="A94" s="3" t="s">
        <v>276</v>
      </c>
      <c r="B94" s="3">
        <v>68</v>
      </c>
      <c r="C94" s="21">
        <v>68</v>
      </c>
      <c r="D94" s="3" t="s">
        <v>187</v>
      </c>
      <c r="E94" s="23" t="s">
        <v>352</v>
      </c>
      <c r="F94" s="3"/>
      <c r="G94" s="3"/>
      <c r="H94" s="4" t="s">
        <v>505</v>
      </c>
      <c r="I94" s="3" t="s">
        <v>32</v>
      </c>
      <c r="J94" s="3">
        <v>85</v>
      </c>
      <c r="K94" s="3" t="s">
        <v>184</v>
      </c>
      <c r="L94" s="35">
        <v>20201124</v>
      </c>
      <c r="M94" s="3"/>
      <c r="N94" s="3"/>
      <c r="O94" s="3">
        <v>35.26</v>
      </c>
      <c r="P94" s="3">
        <v>1.33</v>
      </c>
      <c r="Q94" s="3">
        <v>0.47</v>
      </c>
      <c r="R94" s="3">
        <v>30</v>
      </c>
      <c r="S94" s="3">
        <v>1057.7</v>
      </c>
      <c r="T94" s="39">
        <v>29.266714096069336</v>
      </c>
      <c r="U94" s="39">
        <v>26.670763969421387</v>
      </c>
      <c r="V94" s="39">
        <v>27.169170379638672</v>
      </c>
      <c r="W94" s="39">
        <v>26.712253570556641</v>
      </c>
      <c r="X94" s="39">
        <v>25.202144622802734</v>
      </c>
      <c r="Y94" s="39">
        <v>25.670899391174316</v>
      </c>
      <c r="Z94" s="39">
        <v>24.902868270874023</v>
      </c>
      <c r="AA94" s="39">
        <v>25.994399070739746</v>
      </c>
      <c r="AB94" s="39">
        <v>38.042030334472656</v>
      </c>
      <c r="AC94" s="39">
        <v>28.336088180541992</v>
      </c>
      <c r="AD94" s="39">
        <v>36.554159164428711</v>
      </c>
      <c r="AE94" s="39">
        <v>26.735262870788574</v>
      </c>
      <c r="AF94" s="39">
        <v>32.412790298461914</v>
      </c>
      <c r="AG94" s="39">
        <v>26.712795257568359</v>
      </c>
      <c r="AH94" s="39">
        <v>32.731138229370117</v>
      </c>
      <c r="AI94" s="39">
        <v>26.754214286804199</v>
      </c>
      <c r="AJ94" s="39">
        <v>35.139694213867188</v>
      </c>
      <c r="AK94" s="39">
        <v>26.601990699768066</v>
      </c>
      <c r="AL94" s="3" t="s">
        <v>32</v>
      </c>
      <c r="AM94" s="68">
        <f t="shared" si="21"/>
        <v>99.304817948012001</v>
      </c>
      <c r="AP94" s="4" t="s">
        <v>505</v>
      </c>
      <c r="AQ94" s="3" t="s">
        <v>32</v>
      </c>
      <c r="AR94" s="44">
        <f t="shared" si="22"/>
        <v>2.5959501266479492</v>
      </c>
      <c r="AS94" s="44">
        <f t="shared" si="23"/>
        <v>0.45691680908203125</v>
      </c>
      <c r="AT94" s="44">
        <f t="shared" si="24"/>
        <v>-0.46875476837158203</v>
      </c>
      <c r="AU94" s="44">
        <f t="shared" si="25"/>
        <v>-1.0915307998657227</v>
      </c>
      <c r="AV94" s="44">
        <f t="shared" si="26"/>
        <v>9.7059421539306641</v>
      </c>
      <c r="AW94" s="44">
        <f t="shared" si="27"/>
        <v>9.8188962936401367</v>
      </c>
      <c r="AX94" s="44">
        <f t="shared" si="28"/>
        <v>5.6999950408935547</v>
      </c>
      <c r="AY94" s="44">
        <f t="shared" si="29"/>
        <v>5.976923942565918</v>
      </c>
      <c r="AZ94" s="44">
        <f t="shared" si="30"/>
        <v>8.5377035140991211</v>
      </c>
      <c r="BA94" s="44"/>
      <c r="BB94" s="4" t="s">
        <v>505</v>
      </c>
      <c r="BC94" s="3" t="s">
        <v>32</v>
      </c>
      <c r="BD94" s="44" t="e">
        <f>AR94*#REF!</f>
        <v>#REF!</v>
      </c>
      <c r="BE94" s="44" t="e">
        <f>AS94*#REF!</f>
        <v>#REF!</v>
      </c>
      <c r="BF94" s="44" t="e">
        <f>AT94*#REF!</f>
        <v>#REF!</v>
      </c>
      <c r="BG94" s="44" t="e">
        <f>AU94*#REF!</f>
        <v>#REF!</v>
      </c>
      <c r="BH94" s="44" t="e">
        <f>AV94*#REF!</f>
        <v>#REF!</v>
      </c>
      <c r="BI94" s="44" t="e">
        <f>AW94*#REF!</f>
        <v>#REF!</v>
      </c>
      <c r="BJ94" s="44" t="e">
        <f>AX94*#REF!</f>
        <v>#REF!</v>
      </c>
      <c r="BK94" s="44" t="e">
        <f>AY94*#REF!</f>
        <v>#REF!</v>
      </c>
      <c r="BL94" s="44" t="e">
        <f>AZ94*#REF!</f>
        <v>#REF!</v>
      </c>
      <c r="BM94" s="44" t="e">
        <f t="shared" si="31"/>
        <v>#REF!</v>
      </c>
      <c r="BN94" s="83" t="e">
        <f t="shared" si="32"/>
        <v>#REF!</v>
      </c>
      <c r="BP94" s="87">
        <v>99.304817948012001</v>
      </c>
      <c r="BQ94" s="87">
        <v>0.93147884310734674</v>
      </c>
    </row>
    <row r="95" spans="1:69" s="25" customFormat="1" ht="18">
      <c r="A95" s="3" t="s">
        <v>276</v>
      </c>
      <c r="B95" s="3">
        <v>69</v>
      </c>
      <c r="C95" s="21">
        <v>69</v>
      </c>
      <c r="D95" s="3" t="s">
        <v>188</v>
      </c>
      <c r="E95" s="23" t="s">
        <v>353</v>
      </c>
      <c r="F95" s="3"/>
      <c r="G95" s="3"/>
      <c r="H95" s="4" t="s">
        <v>506</v>
      </c>
      <c r="I95" s="3" t="s">
        <v>32</v>
      </c>
      <c r="J95" s="3">
        <v>60</v>
      </c>
      <c r="K95" s="3" t="s">
        <v>118</v>
      </c>
      <c r="L95" s="35">
        <v>20190605</v>
      </c>
      <c r="M95" s="3"/>
      <c r="N95" s="3"/>
      <c r="O95" s="3">
        <v>37.770000000000003</v>
      </c>
      <c r="P95" s="3">
        <v>1.3</v>
      </c>
      <c r="Q95" s="3">
        <v>0.46</v>
      </c>
      <c r="R95" s="3">
        <v>30</v>
      </c>
      <c r="S95" s="3">
        <v>1133.0999999999999</v>
      </c>
      <c r="T95" s="39">
        <v>26.905948638916016</v>
      </c>
      <c r="U95" s="39">
        <v>26.940286636352539</v>
      </c>
      <c r="V95" s="39">
        <v>25.869585990905762</v>
      </c>
      <c r="W95" s="39">
        <v>26.907254219055176</v>
      </c>
      <c r="X95" s="39">
        <v>25.846484184265137</v>
      </c>
      <c r="Y95" s="39">
        <v>25.927136421203613</v>
      </c>
      <c r="Z95" s="39">
        <v>25.967391967773438</v>
      </c>
      <c r="AA95" s="39">
        <v>26.604635238647461</v>
      </c>
      <c r="AB95" s="39">
        <v>38.622364044189453</v>
      </c>
      <c r="AC95" s="39">
        <v>28.746541023254395</v>
      </c>
      <c r="AD95" s="39">
        <v>33.471828460693359</v>
      </c>
      <c r="AE95" s="39">
        <v>26.988101959228516</v>
      </c>
      <c r="AF95" s="39">
        <v>32.778858184814453</v>
      </c>
      <c r="AG95" s="39">
        <v>26.970526695251465</v>
      </c>
      <c r="AH95" s="39">
        <v>30.878507614135742</v>
      </c>
      <c r="AI95" s="39">
        <v>26.974062919616699</v>
      </c>
      <c r="AJ95" s="39">
        <v>34.383901596069336</v>
      </c>
      <c r="AK95" s="39">
        <v>26.99998664855957</v>
      </c>
      <c r="AL95" s="3" t="s">
        <v>32</v>
      </c>
      <c r="AM95" s="68">
        <f t="shared" si="21"/>
        <v>95.919016043395757</v>
      </c>
      <c r="AP95" s="4" t="s">
        <v>506</v>
      </c>
      <c r="AQ95" s="3" t="s">
        <v>32</v>
      </c>
      <c r="AR95" s="44">
        <f t="shared" si="22"/>
        <v>-3.4337997436523438E-2</v>
      </c>
      <c r="AS95" s="44">
        <f t="shared" si="23"/>
        <v>-1.0376682281494141</v>
      </c>
      <c r="AT95" s="44">
        <f t="shared" si="24"/>
        <v>-8.0652236938476562E-2</v>
      </c>
      <c r="AU95" s="44">
        <f t="shared" si="25"/>
        <v>-0.63724327087402344</v>
      </c>
      <c r="AV95" s="44">
        <f t="shared" si="26"/>
        <v>9.8758230209350586</v>
      </c>
      <c r="AW95" s="44">
        <f t="shared" si="27"/>
        <v>6.4837265014648438</v>
      </c>
      <c r="AX95" s="44">
        <f t="shared" si="28"/>
        <v>5.8083314895629883</v>
      </c>
      <c r="AY95" s="44">
        <f t="shared" si="29"/>
        <v>3.904444694519043</v>
      </c>
      <c r="AZ95" s="44">
        <f t="shared" si="30"/>
        <v>7.3839149475097656</v>
      </c>
      <c r="BA95" s="44"/>
      <c r="BB95" s="4" t="s">
        <v>506</v>
      </c>
      <c r="BC95" s="3" t="s">
        <v>32</v>
      </c>
      <c r="BD95" s="44" t="e">
        <f>AR95*#REF!</f>
        <v>#REF!</v>
      </c>
      <c r="BE95" s="44" t="e">
        <f>AS95*#REF!</f>
        <v>#REF!</v>
      </c>
      <c r="BF95" s="44" t="e">
        <f>AT95*#REF!</f>
        <v>#REF!</v>
      </c>
      <c r="BG95" s="44" t="e">
        <f>AU95*#REF!</f>
        <v>#REF!</v>
      </c>
      <c r="BH95" s="44" t="e">
        <f>AV95*#REF!</f>
        <v>#REF!</v>
      </c>
      <c r="BI95" s="44" t="e">
        <f>AW95*#REF!</f>
        <v>#REF!</v>
      </c>
      <c r="BJ95" s="44" t="e">
        <f>AX95*#REF!</f>
        <v>#REF!</v>
      </c>
      <c r="BK95" s="44" t="e">
        <f>AY95*#REF!</f>
        <v>#REF!</v>
      </c>
      <c r="BL95" s="44" t="e">
        <f>AZ95*#REF!</f>
        <v>#REF!</v>
      </c>
      <c r="BM95" s="44" t="e">
        <f t="shared" si="31"/>
        <v>#REF!</v>
      </c>
      <c r="BN95" s="83" t="e">
        <f t="shared" si="32"/>
        <v>#REF!</v>
      </c>
      <c r="BP95" s="87">
        <v>95.919016043395757</v>
      </c>
      <c r="BQ95" s="87">
        <v>0.95319046772541938</v>
      </c>
    </row>
    <row r="96" spans="1:69" s="25" customFormat="1" ht="18">
      <c r="A96" s="3" t="s">
        <v>276</v>
      </c>
      <c r="B96" s="3">
        <v>70</v>
      </c>
      <c r="C96" s="21">
        <v>70</v>
      </c>
      <c r="D96" s="3" t="s">
        <v>189</v>
      </c>
      <c r="E96" s="23" t="s">
        <v>354</v>
      </c>
      <c r="F96" s="3"/>
      <c r="G96" s="3"/>
      <c r="H96" s="4" t="s">
        <v>507</v>
      </c>
      <c r="I96" s="3" t="s">
        <v>32</v>
      </c>
      <c r="J96" s="3">
        <v>60</v>
      </c>
      <c r="K96" s="3" t="s">
        <v>118</v>
      </c>
      <c r="L96" s="35">
        <v>20190721</v>
      </c>
      <c r="M96" s="3"/>
      <c r="N96" s="3"/>
      <c r="O96" s="3">
        <v>22.17</v>
      </c>
      <c r="P96" s="3">
        <v>1.26</v>
      </c>
      <c r="Q96" s="3">
        <v>0.43</v>
      </c>
      <c r="R96" s="3">
        <v>30</v>
      </c>
      <c r="S96" s="3">
        <v>665.2</v>
      </c>
      <c r="T96" s="39">
        <v>24.285689353942871</v>
      </c>
      <c r="U96" s="39">
        <v>25.222006797790527</v>
      </c>
      <c r="V96" s="39">
        <v>23.299076080322266</v>
      </c>
      <c r="W96" s="39">
        <v>25.131857872009277</v>
      </c>
      <c r="X96" s="39">
        <v>24.321492195129395</v>
      </c>
      <c r="Y96" s="39">
        <v>24.391481399536133</v>
      </c>
      <c r="Z96" s="39">
        <v>22.724806785583496</v>
      </c>
      <c r="AA96" s="39">
        <v>24.62307071685791</v>
      </c>
      <c r="AB96" s="39">
        <v>33.576549530029297</v>
      </c>
      <c r="AC96" s="39">
        <v>27.157097816467285</v>
      </c>
      <c r="AD96" s="39">
        <v>30.195068359375</v>
      </c>
      <c r="AE96" s="39">
        <v>25.256313323974609</v>
      </c>
      <c r="AF96" s="39">
        <v>29.362841606140137</v>
      </c>
      <c r="AG96" s="39">
        <v>25.364200592041016</v>
      </c>
      <c r="AH96" s="39">
        <v>27.487914085388184</v>
      </c>
      <c r="AI96" s="39">
        <v>25.062719345092773</v>
      </c>
      <c r="AJ96" s="39">
        <v>30.040531158447266</v>
      </c>
      <c r="AK96" s="39">
        <v>25.484457969665527</v>
      </c>
      <c r="AL96" s="3" t="s">
        <v>32</v>
      </c>
      <c r="AM96" s="68">
        <f t="shared" si="21"/>
        <v>99.914172156558791</v>
      </c>
      <c r="AP96" s="4" t="s">
        <v>507</v>
      </c>
      <c r="AQ96" s="3" t="s">
        <v>32</v>
      </c>
      <c r="AR96" s="44">
        <f t="shared" si="22"/>
        <v>-0.93631744384765625</v>
      </c>
      <c r="AS96" s="44">
        <f t="shared" si="23"/>
        <v>-1.8327817916870117</v>
      </c>
      <c r="AT96" s="44">
        <f t="shared" si="24"/>
        <v>-6.9989204406738281E-2</v>
      </c>
      <c r="AU96" s="44">
        <f t="shared" si="25"/>
        <v>-1.8982639312744141</v>
      </c>
      <c r="AV96" s="44">
        <f t="shared" si="26"/>
        <v>6.4194517135620117</v>
      </c>
      <c r="AW96" s="44">
        <f t="shared" si="27"/>
        <v>4.9387550354003906</v>
      </c>
      <c r="AX96" s="44">
        <f t="shared" si="28"/>
        <v>3.9986410140991211</v>
      </c>
      <c r="AY96" s="44">
        <f t="shared" si="29"/>
        <v>2.4251947402954102</v>
      </c>
      <c r="AZ96" s="44">
        <f t="shared" si="30"/>
        <v>4.5560731887817383</v>
      </c>
      <c r="BA96" s="44"/>
      <c r="BB96" s="4" t="s">
        <v>507</v>
      </c>
      <c r="BC96" s="3" t="s">
        <v>32</v>
      </c>
      <c r="BD96" s="44" t="e">
        <f>AR96*#REF!</f>
        <v>#REF!</v>
      </c>
      <c r="BE96" s="44" t="e">
        <f>AS96*#REF!</f>
        <v>#REF!</v>
      </c>
      <c r="BF96" s="44" t="e">
        <f>AT96*#REF!</f>
        <v>#REF!</v>
      </c>
      <c r="BG96" s="44" t="e">
        <f>AU96*#REF!</f>
        <v>#REF!</v>
      </c>
      <c r="BH96" s="44" t="e">
        <f>AV96*#REF!</f>
        <v>#REF!</v>
      </c>
      <c r="BI96" s="44" t="e">
        <f>AW96*#REF!</f>
        <v>#REF!</v>
      </c>
      <c r="BJ96" s="44" t="e">
        <f>AX96*#REF!</f>
        <v>#REF!</v>
      </c>
      <c r="BK96" s="44" t="e">
        <f>AY96*#REF!</f>
        <v>#REF!</v>
      </c>
      <c r="BL96" s="44" t="e">
        <f>AZ96*#REF!</f>
        <v>#REF!</v>
      </c>
      <c r="BM96" s="44" t="e">
        <f t="shared" si="31"/>
        <v>#REF!</v>
      </c>
      <c r="BN96" s="83" t="e">
        <f t="shared" si="32"/>
        <v>#REF!</v>
      </c>
      <c r="BP96" s="87">
        <v>99.914172156558791</v>
      </c>
      <c r="BQ96" s="87">
        <v>0.99648585572280446</v>
      </c>
    </row>
    <row r="97" spans="1:69" s="25" customFormat="1" ht="18">
      <c r="A97" s="3" t="s">
        <v>276</v>
      </c>
      <c r="B97" s="3">
        <v>71</v>
      </c>
      <c r="C97" s="21">
        <v>71</v>
      </c>
      <c r="D97" s="3" t="s">
        <v>190</v>
      </c>
      <c r="E97" s="23" t="s">
        <v>355</v>
      </c>
      <c r="F97" s="3"/>
      <c r="G97" s="3"/>
      <c r="H97" s="4" t="s">
        <v>508</v>
      </c>
      <c r="I97" s="3" t="s">
        <v>32</v>
      </c>
      <c r="J97" s="3">
        <v>59</v>
      </c>
      <c r="K97" s="3" t="s">
        <v>184</v>
      </c>
      <c r="L97" s="35">
        <v>20190807</v>
      </c>
      <c r="M97" s="3"/>
      <c r="N97" s="3"/>
      <c r="O97" s="3">
        <v>26.09</v>
      </c>
      <c r="P97" s="3">
        <v>1.26</v>
      </c>
      <c r="Q97" s="3">
        <v>0.44</v>
      </c>
      <c r="R97" s="3">
        <v>30</v>
      </c>
      <c r="S97" s="3">
        <v>782.7</v>
      </c>
      <c r="T97" s="39">
        <v>27.071703910827637</v>
      </c>
      <c r="U97" s="39">
        <v>26.324069976806641</v>
      </c>
      <c r="V97" s="39">
        <v>25.933048248291016</v>
      </c>
      <c r="W97" s="39">
        <v>26.33799934387207</v>
      </c>
      <c r="X97" s="39">
        <v>26.715473175048828</v>
      </c>
      <c r="Y97" s="39">
        <v>25.584033012390137</v>
      </c>
      <c r="Z97" s="39">
        <v>24.480226516723633</v>
      </c>
      <c r="AA97" s="39">
        <v>25.754406929016113</v>
      </c>
      <c r="AB97" s="39">
        <v>36.154565811157227</v>
      </c>
      <c r="AC97" s="39">
        <v>27.978067398071289</v>
      </c>
      <c r="AD97" s="39">
        <v>32.036465644836426</v>
      </c>
      <c r="AE97" s="39">
        <v>26.387382507324219</v>
      </c>
      <c r="AF97" s="39">
        <v>29.253373146057129</v>
      </c>
      <c r="AG97" s="39">
        <v>26.345499038696289</v>
      </c>
      <c r="AH97" s="39">
        <v>30.234917640686035</v>
      </c>
      <c r="AI97" s="39">
        <v>26.30615234375</v>
      </c>
      <c r="AJ97" s="39">
        <v>33.449331283569336</v>
      </c>
      <c r="AK97" s="39">
        <v>26.427548408508301</v>
      </c>
      <c r="AL97" s="3" t="s">
        <v>32</v>
      </c>
      <c r="AM97" s="68">
        <f t="shared" si="21"/>
        <v>99.992254748760672</v>
      </c>
      <c r="AP97" s="4" t="s">
        <v>508</v>
      </c>
      <c r="AQ97" s="3" t="s">
        <v>32</v>
      </c>
      <c r="AR97" s="44">
        <f t="shared" si="22"/>
        <v>0.74763393402099609</v>
      </c>
      <c r="AS97" s="44">
        <f t="shared" si="23"/>
        <v>-0.40495109558105469</v>
      </c>
      <c r="AT97" s="44">
        <f t="shared" si="24"/>
        <v>1.1314401626586914</v>
      </c>
      <c r="AU97" s="44">
        <f t="shared" si="25"/>
        <v>-1.2741804122924805</v>
      </c>
      <c r="AV97" s="44">
        <f t="shared" si="26"/>
        <v>8.1764984130859375</v>
      </c>
      <c r="AW97" s="44">
        <f t="shared" si="27"/>
        <v>5.649083137512207</v>
      </c>
      <c r="AX97" s="44">
        <f t="shared" si="28"/>
        <v>2.9078741073608398</v>
      </c>
      <c r="AY97" s="44">
        <f t="shared" si="29"/>
        <v>3.9287652969360352</v>
      </c>
      <c r="AZ97" s="44">
        <f t="shared" si="30"/>
        <v>7.0217828750610352</v>
      </c>
      <c r="BA97" s="44"/>
      <c r="BB97" s="4" t="s">
        <v>508</v>
      </c>
      <c r="BC97" s="3" t="s">
        <v>32</v>
      </c>
      <c r="BD97" s="44" t="e">
        <f>AR97*#REF!</f>
        <v>#REF!</v>
      </c>
      <c r="BE97" s="44" t="e">
        <f>AS97*#REF!</f>
        <v>#REF!</v>
      </c>
      <c r="BF97" s="44" t="e">
        <f>AT97*#REF!</f>
        <v>#REF!</v>
      </c>
      <c r="BG97" s="44" t="e">
        <f>AU97*#REF!</f>
        <v>#REF!</v>
      </c>
      <c r="BH97" s="44" t="e">
        <f>AV97*#REF!</f>
        <v>#REF!</v>
      </c>
      <c r="BI97" s="44" t="e">
        <f>AW97*#REF!</f>
        <v>#REF!</v>
      </c>
      <c r="BJ97" s="44" t="e">
        <f>AX97*#REF!</f>
        <v>#REF!</v>
      </c>
      <c r="BK97" s="44" t="e">
        <f>AY97*#REF!</f>
        <v>#REF!</v>
      </c>
      <c r="BL97" s="44" t="e">
        <f>AZ97*#REF!</f>
        <v>#REF!</v>
      </c>
      <c r="BM97" s="44" t="e">
        <f t="shared" si="31"/>
        <v>#REF!</v>
      </c>
      <c r="BN97" s="83" t="e">
        <f t="shared" si="32"/>
        <v>#REF!</v>
      </c>
      <c r="BP97" s="87">
        <v>99.992254748760672</v>
      </c>
      <c r="BQ97" s="87">
        <v>0.9967801239205506</v>
      </c>
    </row>
    <row r="98" spans="1:69" s="25" customFormat="1" ht="18">
      <c r="A98" s="3" t="s">
        <v>276</v>
      </c>
      <c r="B98" s="3">
        <v>72</v>
      </c>
      <c r="C98" s="21">
        <v>72</v>
      </c>
      <c r="D98" s="3" t="s">
        <v>191</v>
      </c>
      <c r="E98" s="23" t="s">
        <v>355</v>
      </c>
      <c r="F98" s="3"/>
      <c r="G98" s="3"/>
      <c r="H98" s="4" t="s">
        <v>509</v>
      </c>
      <c r="I98" s="3" t="s">
        <v>32</v>
      </c>
      <c r="J98" s="3">
        <v>59</v>
      </c>
      <c r="K98" s="3" t="s">
        <v>184</v>
      </c>
      <c r="L98" s="35">
        <v>20190807</v>
      </c>
      <c r="M98" s="3"/>
      <c r="N98" s="3"/>
      <c r="O98" s="3">
        <v>33.22</v>
      </c>
      <c r="P98" s="3">
        <v>1.32</v>
      </c>
      <c r="Q98" s="3">
        <v>0.46</v>
      </c>
      <c r="R98" s="3">
        <v>30</v>
      </c>
      <c r="S98" s="3">
        <v>996.6</v>
      </c>
      <c r="T98" s="39">
        <v>29.541324615478516</v>
      </c>
      <c r="U98" s="39">
        <v>26.56442928314209</v>
      </c>
      <c r="V98" s="39">
        <v>27.20768928527832</v>
      </c>
      <c r="W98" s="39">
        <v>26.559956550598145</v>
      </c>
      <c r="X98" s="39">
        <v>27.243310928344727</v>
      </c>
      <c r="Y98" s="39">
        <v>25.860994338989258</v>
      </c>
      <c r="Z98" s="39">
        <v>24.400713920593262</v>
      </c>
      <c r="AA98" s="39">
        <v>25.949132919311523</v>
      </c>
      <c r="AB98" s="39">
        <v>36.794780731201172</v>
      </c>
      <c r="AC98" s="39">
        <v>28.39179801940918</v>
      </c>
      <c r="AD98" s="39">
        <v>34.973688125610352</v>
      </c>
      <c r="AE98" s="39">
        <v>26.612935066223145</v>
      </c>
      <c r="AF98" s="39">
        <v>29.664483070373535</v>
      </c>
      <c r="AG98" s="39">
        <v>26.589056015014648</v>
      </c>
      <c r="AH98" s="39">
        <v>32.831640243530273</v>
      </c>
      <c r="AI98" s="39">
        <v>26.693892478942871</v>
      </c>
      <c r="AJ98" s="39">
        <v>35.354389190673828</v>
      </c>
      <c r="AK98" s="39">
        <v>26.733287811279297</v>
      </c>
      <c r="AL98" s="3" t="s">
        <v>32</v>
      </c>
      <c r="AM98" s="68">
        <f t="shared" si="21"/>
        <v>99.997007201152925</v>
      </c>
      <c r="AP98" s="4" t="s">
        <v>509</v>
      </c>
      <c r="AQ98" s="3" t="s">
        <v>32</v>
      </c>
      <c r="AR98" s="44">
        <f t="shared" si="22"/>
        <v>2.9768953323364258</v>
      </c>
      <c r="AS98" s="44">
        <f t="shared" si="23"/>
        <v>0.64773273468017578</v>
      </c>
      <c r="AT98" s="44">
        <f t="shared" si="24"/>
        <v>1.3823165893554688</v>
      </c>
      <c r="AU98" s="44">
        <f t="shared" si="25"/>
        <v>-1.5484189987182617</v>
      </c>
      <c r="AV98" s="44">
        <f t="shared" si="26"/>
        <v>8.4029827117919922</v>
      </c>
      <c r="AW98" s="44">
        <f t="shared" si="27"/>
        <v>8.360753059387207</v>
      </c>
      <c r="AX98" s="44">
        <f t="shared" si="28"/>
        <v>3.0754270553588867</v>
      </c>
      <c r="AY98" s="44">
        <f t="shared" si="29"/>
        <v>6.1377477645874023</v>
      </c>
      <c r="AZ98" s="44">
        <f t="shared" si="30"/>
        <v>8.6211013793945312</v>
      </c>
      <c r="BA98" s="44"/>
      <c r="BB98" s="4" t="s">
        <v>509</v>
      </c>
      <c r="BC98" s="3" t="s">
        <v>32</v>
      </c>
      <c r="BD98" s="44" t="e">
        <f>AR98*#REF!</f>
        <v>#REF!</v>
      </c>
      <c r="BE98" s="44" t="e">
        <f>AS98*#REF!</f>
        <v>#REF!</v>
      </c>
      <c r="BF98" s="44" t="e">
        <f>AT98*#REF!</f>
        <v>#REF!</v>
      </c>
      <c r="BG98" s="44" t="e">
        <f>AU98*#REF!</f>
        <v>#REF!</v>
      </c>
      <c r="BH98" s="44" t="e">
        <f>AV98*#REF!</f>
        <v>#REF!</v>
      </c>
      <c r="BI98" s="44" t="e">
        <f>AW98*#REF!</f>
        <v>#REF!</v>
      </c>
      <c r="BJ98" s="44" t="e">
        <f>AX98*#REF!</f>
        <v>#REF!</v>
      </c>
      <c r="BK98" s="44" t="e">
        <f>AY98*#REF!</f>
        <v>#REF!</v>
      </c>
      <c r="BL98" s="44" t="e">
        <f>AZ98*#REF!</f>
        <v>#REF!</v>
      </c>
      <c r="BM98" s="44" t="e">
        <f t="shared" si="31"/>
        <v>#REF!</v>
      </c>
      <c r="BN98" s="83" t="e">
        <f t="shared" si="32"/>
        <v>#REF!</v>
      </c>
      <c r="BP98" s="87">
        <v>99.997007201152925</v>
      </c>
      <c r="BQ98" s="87">
        <v>0.99260117023371497</v>
      </c>
    </row>
    <row r="99" spans="1:69" s="25" customFormat="1" ht="18">
      <c r="A99" s="3" t="s">
        <v>276</v>
      </c>
      <c r="B99" s="3">
        <v>73</v>
      </c>
      <c r="C99" s="21">
        <v>73</v>
      </c>
      <c r="D99" s="3" t="s">
        <v>192</v>
      </c>
      <c r="E99" s="23" t="s">
        <v>356</v>
      </c>
      <c r="F99" s="3"/>
      <c r="G99" s="3"/>
      <c r="H99" s="4" t="s">
        <v>510</v>
      </c>
      <c r="I99" s="3" t="s">
        <v>32</v>
      </c>
      <c r="J99" s="3">
        <v>75</v>
      </c>
      <c r="K99" s="30" t="s">
        <v>118</v>
      </c>
      <c r="L99" s="37"/>
      <c r="M99" s="3"/>
      <c r="N99" s="3"/>
      <c r="O99" s="3">
        <v>25.52</v>
      </c>
      <c r="P99" s="3">
        <v>1.17</v>
      </c>
      <c r="Q99" s="3">
        <v>0.4</v>
      </c>
      <c r="R99" s="3">
        <v>30</v>
      </c>
      <c r="S99" s="3">
        <v>765.5</v>
      </c>
      <c r="T99" s="39">
        <v>27.736673355102539</v>
      </c>
      <c r="U99" s="39">
        <v>29.38755798339843</v>
      </c>
      <c r="V99" s="39">
        <v>26.568364143371582</v>
      </c>
      <c r="W99" s="39">
        <v>29.156021118164062</v>
      </c>
      <c r="X99" s="39">
        <v>28.75913143157959</v>
      </c>
      <c r="Y99" s="39">
        <v>28.708554267883301</v>
      </c>
      <c r="Z99" s="39">
        <v>25.678328514099121</v>
      </c>
      <c r="AA99" s="39">
        <v>28.702905654907227</v>
      </c>
      <c r="AB99" s="39">
        <v>36.366842269897461</v>
      </c>
      <c r="AC99" s="39">
        <v>31.606268882751465</v>
      </c>
      <c r="AD99" s="39">
        <v>31.598008155822754</v>
      </c>
      <c r="AE99" s="39">
        <v>29.60056209564209</v>
      </c>
      <c r="AF99" s="39">
        <v>31.588620185852051</v>
      </c>
      <c r="AG99" s="39">
        <v>29.587324142456055</v>
      </c>
      <c r="AH99" s="39">
        <v>29.820531845092773</v>
      </c>
      <c r="AI99" s="39">
        <v>29.002318382263184</v>
      </c>
      <c r="AJ99" s="39">
        <v>33.264547348022461</v>
      </c>
      <c r="AK99" s="39">
        <v>29.38176441192627</v>
      </c>
      <c r="AL99" s="3" t="s">
        <v>32</v>
      </c>
      <c r="AM99" s="68">
        <f t="shared" si="21"/>
        <v>99.998058793818245</v>
      </c>
      <c r="AP99" s="4" t="s">
        <v>510</v>
      </c>
      <c r="AQ99" s="3" t="s">
        <v>32</v>
      </c>
      <c r="AR99" s="44">
        <f t="shared" si="22"/>
        <v>-1.6508846282958913</v>
      </c>
      <c r="AS99" s="44">
        <f t="shared" si="23"/>
        <v>-2.5876569747924805</v>
      </c>
      <c r="AT99" s="44">
        <f t="shared" si="24"/>
        <v>5.0577163696289062E-2</v>
      </c>
      <c r="AU99" s="44">
        <f t="shared" si="25"/>
        <v>-3.0245771408081055</v>
      </c>
      <c r="AV99" s="44">
        <f t="shared" si="26"/>
        <v>4.7605733871459961</v>
      </c>
      <c r="AW99" s="44">
        <f t="shared" si="27"/>
        <v>1.9974460601806641</v>
      </c>
      <c r="AX99" s="44">
        <f t="shared" si="28"/>
        <v>2.0012960433959961</v>
      </c>
      <c r="AY99" s="44">
        <f t="shared" si="29"/>
        <v>0.81821346282958984</v>
      </c>
      <c r="AZ99" s="44">
        <f t="shared" si="30"/>
        <v>3.8827829360961914</v>
      </c>
      <c r="BA99" s="44"/>
      <c r="BB99" s="4" t="s">
        <v>510</v>
      </c>
      <c r="BC99" s="3" t="s">
        <v>32</v>
      </c>
      <c r="BD99" s="44" t="e">
        <f>AR99*#REF!</f>
        <v>#REF!</v>
      </c>
      <c r="BE99" s="44" t="e">
        <f>AS99*#REF!</f>
        <v>#REF!</v>
      </c>
      <c r="BF99" s="44" t="e">
        <f>AT99*#REF!</f>
        <v>#REF!</v>
      </c>
      <c r="BG99" s="44" t="e">
        <f>AU99*#REF!</f>
        <v>#REF!</v>
      </c>
      <c r="BH99" s="44" t="e">
        <f>AV99*#REF!</f>
        <v>#REF!</v>
      </c>
      <c r="BI99" s="44" t="e">
        <f>AW99*#REF!</f>
        <v>#REF!</v>
      </c>
      <c r="BJ99" s="44" t="e">
        <f>AX99*#REF!</f>
        <v>#REF!</v>
      </c>
      <c r="BK99" s="44" t="e">
        <f>AY99*#REF!</f>
        <v>#REF!</v>
      </c>
      <c r="BL99" s="44" t="e">
        <f>AZ99*#REF!</f>
        <v>#REF!</v>
      </c>
      <c r="BM99" s="44" t="e">
        <f t="shared" si="31"/>
        <v>#REF!</v>
      </c>
      <c r="BN99" s="83" t="e">
        <f t="shared" si="32"/>
        <v>#REF!</v>
      </c>
      <c r="BP99" s="87">
        <v>99.998058793818245</v>
      </c>
      <c r="BQ99" s="87">
        <v>0.99972057862945074</v>
      </c>
    </row>
    <row r="100" spans="1:69" s="25" customFormat="1" ht="18">
      <c r="A100" s="3" t="s">
        <v>276</v>
      </c>
      <c r="B100" s="3">
        <v>74</v>
      </c>
      <c r="C100" s="21">
        <v>74</v>
      </c>
      <c r="D100" s="3" t="s">
        <v>193</v>
      </c>
      <c r="E100" s="23" t="s">
        <v>357</v>
      </c>
      <c r="F100" s="3"/>
      <c r="G100" s="3"/>
      <c r="H100" s="4" t="s">
        <v>511</v>
      </c>
      <c r="I100" s="3" t="s">
        <v>32</v>
      </c>
      <c r="J100" s="3">
        <v>78</v>
      </c>
      <c r="K100" s="30" t="s">
        <v>118</v>
      </c>
      <c r="L100" s="37"/>
      <c r="M100" s="3"/>
      <c r="N100" s="3"/>
      <c r="O100" s="3">
        <v>12.52</v>
      </c>
      <c r="P100" s="3">
        <v>1.1200000000000001</v>
      </c>
      <c r="Q100" s="3">
        <v>0.38</v>
      </c>
      <c r="R100" s="3">
        <v>30</v>
      </c>
      <c r="S100" s="3">
        <v>375.6</v>
      </c>
      <c r="T100" s="39">
        <v>25.918730735778809</v>
      </c>
      <c r="U100" s="39">
        <v>27.36824893951416</v>
      </c>
      <c r="V100" s="39">
        <v>25.002780914306641</v>
      </c>
      <c r="W100" s="39">
        <v>27.240187644958496</v>
      </c>
      <c r="X100" s="39">
        <v>25.449816703796387</v>
      </c>
      <c r="Y100" s="39">
        <v>26.389108657836914</v>
      </c>
      <c r="Z100" s="39">
        <v>23.716778755187988</v>
      </c>
      <c r="AA100" s="39">
        <v>26.589173316955566</v>
      </c>
      <c r="AB100" s="39">
        <v>33.988222122192383</v>
      </c>
      <c r="AC100" s="39">
        <v>29.299534797668457</v>
      </c>
      <c r="AD100" s="39">
        <v>30.344893455505371</v>
      </c>
      <c r="AE100" s="39">
        <v>27.566777229309082</v>
      </c>
      <c r="AF100" s="39">
        <v>28.628486633300781</v>
      </c>
      <c r="AG100" s="39">
        <v>27.437294006347656</v>
      </c>
      <c r="AH100" s="39">
        <v>28.629435539245605</v>
      </c>
      <c r="AI100" s="39">
        <v>26.991721153259277</v>
      </c>
      <c r="AJ100" s="39">
        <v>31.076927185058594</v>
      </c>
      <c r="AK100" s="39">
        <v>27.448366165161133</v>
      </c>
      <c r="AL100" s="3" t="s">
        <v>32</v>
      </c>
      <c r="AM100" s="68">
        <f t="shared" si="21"/>
        <v>99.999608053618573</v>
      </c>
      <c r="AP100" s="4" t="s">
        <v>511</v>
      </c>
      <c r="AQ100" s="3" t="s">
        <v>32</v>
      </c>
      <c r="AR100" s="44">
        <f t="shared" si="22"/>
        <v>-1.4495182037353516</v>
      </c>
      <c r="AS100" s="44">
        <f t="shared" si="23"/>
        <v>-2.2374067306518555</v>
      </c>
      <c r="AT100" s="44">
        <f t="shared" si="24"/>
        <v>-0.93929195404052734</v>
      </c>
      <c r="AU100" s="44">
        <f t="shared" si="25"/>
        <v>-2.8723945617675781</v>
      </c>
      <c r="AV100" s="44">
        <f t="shared" si="26"/>
        <v>4.6886873245239258</v>
      </c>
      <c r="AW100" s="44">
        <f t="shared" si="27"/>
        <v>2.7781162261962891</v>
      </c>
      <c r="AX100" s="44">
        <f t="shared" si="28"/>
        <v>1.191192626953125</v>
      </c>
      <c r="AY100" s="44">
        <f t="shared" si="29"/>
        <v>1.6377143859863281</v>
      </c>
      <c r="AZ100" s="44">
        <f t="shared" si="30"/>
        <v>3.6285610198974609</v>
      </c>
      <c r="BA100" s="44"/>
      <c r="BB100" s="4" t="s">
        <v>511</v>
      </c>
      <c r="BC100" s="3" t="s">
        <v>32</v>
      </c>
      <c r="BD100" s="44" t="e">
        <f>AR100*#REF!</f>
        <v>#REF!</v>
      </c>
      <c r="BE100" s="44" t="e">
        <f>AS100*#REF!</f>
        <v>#REF!</v>
      </c>
      <c r="BF100" s="44" t="e">
        <f>AT100*#REF!</f>
        <v>#REF!</v>
      </c>
      <c r="BG100" s="44" t="e">
        <f>AU100*#REF!</f>
        <v>#REF!</v>
      </c>
      <c r="BH100" s="44" t="e">
        <f>AV100*#REF!</f>
        <v>#REF!</v>
      </c>
      <c r="BI100" s="44" t="e">
        <f>AW100*#REF!</f>
        <v>#REF!</v>
      </c>
      <c r="BJ100" s="44" t="e">
        <f>AX100*#REF!</f>
        <v>#REF!</v>
      </c>
      <c r="BK100" s="44" t="e">
        <f>AY100*#REF!</f>
        <v>#REF!</v>
      </c>
      <c r="BL100" s="44" t="e">
        <f>AZ100*#REF!</f>
        <v>#REF!</v>
      </c>
      <c r="BM100" s="44" t="e">
        <f t="shared" si="31"/>
        <v>#REF!</v>
      </c>
      <c r="BN100" s="83" t="e">
        <f t="shared" si="32"/>
        <v>#REF!</v>
      </c>
      <c r="BP100" s="87">
        <v>99.999608053618573</v>
      </c>
      <c r="BQ100" s="87">
        <v>0.99986994161954623</v>
      </c>
    </row>
    <row r="101" spans="1:69" s="25" customFormat="1" ht="18">
      <c r="A101" s="3" t="s">
        <v>276</v>
      </c>
      <c r="B101" s="3">
        <v>75</v>
      </c>
      <c r="C101" s="21">
        <v>75</v>
      </c>
      <c r="D101" s="3" t="s">
        <v>194</v>
      </c>
      <c r="E101" s="23" t="s">
        <v>358</v>
      </c>
      <c r="F101" s="3"/>
      <c r="G101" s="3"/>
      <c r="H101" s="4" t="s">
        <v>512</v>
      </c>
      <c r="I101" s="3" t="s">
        <v>32</v>
      </c>
      <c r="J101" s="3">
        <v>63</v>
      </c>
      <c r="K101" s="30" t="s">
        <v>118</v>
      </c>
      <c r="L101" s="37"/>
      <c r="M101" s="3"/>
      <c r="N101" s="3"/>
      <c r="O101" s="3">
        <v>13.51</v>
      </c>
      <c r="P101" s="3">
        <v>1.19</v>
      </c>
      <c r="Q101" s="3">
        <v>0.4</v>
      </c>
      <c r="R101" s="3">
        <v>30</v>
      </c>
      <c r="S101" s="3">
        <v>405.3</v>
      </c>
      <c r="T101" s="39">
        <v>28.376609802246094</v>
      </c>
      <c r="U101" s="39">
        <v>28.593782424926758</v>
      </c>
      <c r="V101" s="39">
        <v>27.080916404724121</v>
      </c>
      <c r="W101" s="39">
        <v>28.502965927124023</v>
      </c>
      <c r="X101" s="39">
        <v>27.481900215148926</v>
      </c>
      <c r="Y101" s="39">
        <v>27.547651290893555</v>
      </c>
      <c r="Z101" s="39">
        <v>23.877446174621582</v>
      </c>
      <c r="AA101" s="39">
        <v>27.437631607055664</v>
      </c>
      <c r="AB101" s="39">
        <v>34.447959899902344</v>
      </c>
      <c r="AC101" s="39">
        <v>30.326022148132324</v>
      </c>
      <c r="AD101" s="39">
        <v>33.3096923828125</v>
      </c>
      <c r="AE101" s="39">
        <v>28.673816680908203</v>
      </c>
      <c r="AF101" s="39">
        <v>29.127907752990723</v>
      </c>
      <c r="AG101" s="39">
        <v>28.515213012695312</v>
      </c>
      <c r="AH101" s="39">
        <v>31.315751075744629</v>
      </c>
      <c r="AI101" s="39">
        <v>28.356317520141602</v>
      </c>
      <c r="AJ101" s="39">
        <v>32.56202507019043</v>
      </c>
      <c r="AK101" s="39">
        <v>28.506858825683594</v>
      </c>
      <c r="AL101" s="3" t="s">
        <v>32</v>
      </c>
      <c r="AM101" s="68">
        <f t="shared" si="21"/>
        <v>99.999945599873001</v>
      </c>
      <c r="AP101" s="4" t="s">
        <v>512</v>
      </c>
      <c r="AQ101" s="3" t="s">
        <v>32</v>
      </c>
      <c r="AR101" s="44">
        <f t="shared" si="22"/>
        <v>-0.21717262268066406</v>
      </c>
      <c r="AS101" s="44">
        <f t="shared" si="23"/>
        <v>-1.4220495223999023</v>
      </c>
      <c r="AT101" s="44">
        <f t="shared" si="24"/>
        <v>-6.5751075744628906E-2</v>
      </c>
      <c r="AU101" s="44">
        <f t="shared" si="25"/>
        <v>-3.560185432434082</v>
      </c>
      <c r="AV101" s="44">
        <f t="shared" si="26"/>
        <v>4.1219377517700195</v>
      </c>
      <c r="AW101" s="44">
        <f t="shared" si="27"/>
        <v>4.6358757019042969</v>
      </c>
      <c r="AX101" s="44">
        <f t="shared" si="28"/>
        <v>0.61269474029541016</v>
      </c>
      <c r="AY101" s="44">
        <f t="shared" si="29"/>
        <v>2.9594335556030273</v>
      </c>
      <c r="AZ101" s="44">
        <f t="shared" si="30"/>
        <v>4.0551662445068359</v>
      </c>
      <c r="BA101" s="44"/>
      <c r="BB101" s="4" t="s">
        <v>512</v>
      </c>
      <c r="BC101" s="3" t="s">
        <v>32</v>
      </c>
      <c r="BD101" s="44" t="e">
        <f>AR101*#REF!</f>
        <v>#REF!</v>
      </c>
      <c r="BE101" s="44" t="e">
        <f>AS101*#REF!</f>
        <v>#REF!</v>
      </c>
      <c r="BF101" s="44" t="e">
        <f>AT101*#REF!</f>
        <v>#REF!</v>
      </c>
      <c r="BG101" s="44" t="e">
        <f>AU101*#REF!</f>
        <v>#REF!</v>
      </c>
      <c r="BH101" s="44" t="e">
        <f>AV101*#REF!</f>
        <v>#REF!</v>
      </c>
      <c r="BI101" s="44" t="e">
        <f>AW101*#REF!</f>
        <v>#REF!</v>
      </c>
      <c r="BJ101" s="44" t="e">
        <f>AX101*#REF!</f>
        <v>#REF!</v>
      </c>
      <c r="BK101" s="44" t="e">
        <f>AY101*#REF!</f>
        <v>#REF!</v>
      </c>
      <c r="BL101" s="44" t="e">
        <f>AZ101*#REF!</f>
        <v>#REF!</v>
      </c>
      <c r="BM101" s="44" t="e">
        <f t="shared" si="31"/>
        <v>#REF!</v>
      </c>
      <c r="BN101" s="83" t="e">
        <f t="shared" si="32"/>
        <v>#REF!</v>
      </c>
      <c r="BP101" s="87">
        <v>99.999945599873001</v>
      </c>
      <c r="BQ101" s="87">
        <v>0.99984803015967216</v>
      </c>
    </row>
    <row r="102" spans="1:69" s="25" customFormat="1" ht="18">
      <c r="A102" s="3" t="s">
        <v>276</v>
      </c>
      <c r="B102" s="3">
        <v>76</v>
      </c>
      <c r="C102" s="21">
        <v>76</v>
      </c>
      <c r="D102" s="3" t="s">
        <v>195</v>
      </c>
      <c r="E102" s="23" t="s">
        <v>359</v>
      </c>
      <c r="F102" s="3"/>
      <c r="G102" s="3"/>
      <c r="H102" s="4" t="s">
        <v>513</v>
      </c>
      <c r="I102" s="3" t="s">
        <v>32</v>
      </c>
      <c r="J102" s="3">
        <v>78</v>
      </c>
      <c r="K102" s="30" t="s">
        <v>118</v>
      </c>
      <c r="L102" s="37"/>
      <c r="M102" s="3"/>
      <c r="N102" s="3"/>
      <c r="O102" s="3">
        <v>22.36</v>
      </c>
      <c r="P102" s="3">
        <v>1.28</v>
      </c>
      <c r="Q102" s="3">
        <v>0.46</v>
      </c>
      <c r="R102" s="3">
        <v>30</v>
      </c>
      <c r="S102" s="3">
        <v>670.9</v>
      </c>
      <c r="T102" s="39">
        <v>26.877664566040039</v>
      </c>
      <c r="U102" s="39">
        <v>27.925374031066895</v>
      </c>
      <c r="V102" s="39">
        <v>25.745991706848145</v>
      </c>
      <c r="W102" s="39">
        <v>27.861568450927734</v>
      </c>
      <c r="X102" s="39">
        <v>24.663414001464844</v>
      </c>
      <c r="Y102" s="39">
        <v>27.082357406616211</v>
      </c>
      <c r="Z102" s="39">
        <v>25.46534252166748</v>
      </c>
      <c r="AA102" s="39">
        <v>27.327729225158691</v>
      </c>
      <c r="AB102" s="39">
        <v>37.376728057861328</v>
      </c>
      <c r="AC102" s="39">
        <v>29.867532730102539</v>
      </c>
      <c r="AD102" s="39">
        <v>32.45665454864502</v>
      </c>
      <c r="AE102" s="39">
        <v>28.154321670532227</v>
      </c>
      <c r="AF102" s="39">
        <v>31.590330123901367</v>
      </c>
      <c r="AG102" s="39">
        <v>28.034908294677734</v>
      </c>
      <c r="AH102" s="39">
        <v>29.624791145324707</v>
      </c>
      <c r="AI102" s="39">
        <v>27.789920806884766</v>
      </c>
      <c r="AJ102" s="39">
        <v>33.26317024230957</v>
      </c>
      <c r="AK102" s="39">
        <v>28.157551765441895</v>
      </c>
      <c r="AL102" s="3" t="s">
        <v>32</v>
      </c>
      <c r="AM102" s="68">
        <f t="shared" si="21"/>
        <v>99.940663239090867</v>
      </c>
      <c r="AP102" s="4" t="s">
        <v>513</v>
      </c>
      <c r="AQ102" s="3" t="s">
        <v>32</v>
      </c>
      <c r="AR102" s="44">
        <f t="shared" si="22"/>
        <v>-1.0477094650268555</v>
      </c>
      <c r="AS102" s="44">
        <f t="shared" si="23"/>
        <v>-2.1155767440795898</v>
      </c>
      <c r="AT102" s="44">
        <f t="shared" si="24"/>
        <v>-2.4189434051513672</v>
      </c>
      <c r="AU102" s="44">
        <f t="shared" si="25"/>
        <v>-1.8623867034912109</v>
      </c>
      <c r="AV102" s="44">
        <f t="shared" si="26"/>
        <v>7.5091953277587891</v>
      </c>
      <c r="AW102" s="44">
        <f t="shared" si="27"/>
        <v>4.302332878112793</v>
      </c>
      <c r="AX102" s="44">
        <f t="shared" si="28"/>
        <v>3.5554218292236328</v>
      </c>
      <c r="AY102" s="44">
        <f t="shared" si="29"/>
        <v>1.8348703384399414</v>
      </c>
      <c r="AZ102" s="44">
        <f t="shared" si="30"/>
        <v>5.1056184768676758</v>
      </c>
      <c r="BA102" s="44"/>
      <c r="BB102" s="4" t="s">
        <v>513</v>
      </c>
      <c r="BC102" s="3" t="s">
        <v>32</v>
      </c>
      <c r="BD102" s="44" t="e">
        <f>AR102*#REF!</f>
        <v>#REF!</v>
      </c>
      <c r="BE102" s="44" t="e">
        <f>AS102*#REF!</f>
        <v>#REF!</v>
      </c>
      <c r="BF102" s="44" t="e">
        <f>AT102*#REF!</f>
        <v>#REF!</v>
      </c>
      <c r="BG102" s="44" t="e">
        <f>AU102*#REF!</f>
        <v>#REF!</v>
      </c>
      <c r="BH102" s="44" t="e">
        <f>AV102*#REF!</f>
        <v>#REF!</v>
      </c>
      <c r="BI102" s="44" t="e">
        <f>AW102*#REF!</f>
        <v>#REF!</v>
      </c>
      <c r="BJ102" s="44" t="e">
        <f>AX102*#REF!</f>
        <v>#REF!</v>
      </c>
      <c r="BK102" s="44" t="e">
        <f>AY102*#REF!</f>
        <v>#REF!</v>
      </c>
      <c r="BL102" s="44" t="e">
        <f>AZ102*#REF!</f>
        <v>#REF!</v>
      </c>
      <c r="BM102" s="44" t="e">
        <f t="shared" si="31"/>
        <v>#REF!</v>
      </c>
      <c r="BN102" s="83" t="e">
        <f t="shared" si="32"/>
        <v>#REF!</v>
      </c>
      <c r="BP102" s="87">
        <v>99.940663239090867</v>
      </c>
      <c r="BQ102" s="87">
        <v>0.99855904218423464</v>
      </c>
    </row>
    <row r="103" spans="1:69" s="25" customFormat="1" ht="18">
      <c r="A103" s="3" t="s">
        <v>276</v>
      </c>
      <c r="B103" s="3">
        <v>77</v>
      </c>
      <c r="C103" s="21">
        <v>77</v>
      </c>
      <c r="D103" s="3" t="s">
        <v>196</v>
      </c>
      <c r="E103" s="23" t="s">
        <v>360</v>
      </c>
      <c r="F103" s="3"/>
      <c r="G103" s="3"/>
      <c r="H103" s="4" t="s">
        <v>514</v>
      </c>
      <c r="I103" s="3" t="s">
        <v>32</v>
      </c>
      <c r="J103" s="3">
        <v>77</v>
      </c>
      <c r="K103" s="30" t="s">
        <v>118</v>
      </c>
      <c r="L103" s="37"/>
      <c r="M103" s="3"/>
      <c r="N103" s="3"/>
      <c r="O103" s="3">
        <v>37.08</v>
      </c>
      <c r="P103" s="3">
        <v>1.31</v>
      </c>
      <c r="Q103" s="3">
        <v>0.48</v>
      </c>
      <c r="R103" s="3">
        <v>30</v>
      </c>
      <c r="S103" s="3">
        <v>1112.4000000000001</v>
      </c>
      <c r="T103" s="39">
        <v>23.638745307922363</v>
      </c>
      <c r="U103" s="39">
        <v>27.898989677429199</v>
      </c>
      <c r="V103" s="39">
        <v>22.683008193969727</v>
      </c>
      <c r="W103" s="39">
        <v>27.600101470947266</v>
      </c>
      <c r="X103" s="39">
        <v>27.44834041595459</v>
      </c>
      <c r="Y103" s="39">
        <v>28.180370330810547</v>
      </c>
      <c r="Z103" s="39">
        <v>23.072504043579102</v>
      </c>
      <c r="AA103" s="39">
        <v>28.164566040039062</v>
      </c>
      <c r="AB103" s="39">
        <v>34.143644332885742</v>
      </c>
      <c r="AC103" s="39">
        <v>31.085660934448242</v>
      </c>
      <c r="AD103" s="39">
        <v>27.946804046630859</v>
      </c>
      <c r="AE103" s="39">
        <v>28.528277397155762</v>
      </c>
      <c r="AF103" s="39">
        <v>30.891240119934082</v>
      </c>
      <c r="AG103" s="39">
        <v>29.016578674316406</v>
      </c>
      <c r="AH103" s="39">
        <v>26.239176750183105</v>
      </c>
      <c r="AI103" s="39">
        <v>28.01317024230957</v>
      </c>
      <c r="AJ103" s="39">
        <v>29.226065635681152</v>
      </c>
      <c r="AK103" s="39">
        <v>28.672657012939453</v>
      </c>
      <c r="AL103" s="3" t="s">
        <v>32</v>
      </c>
      <c r="AM103" s="68">
        <f t="shared" si="21"/>
        <v>99.995764847580332</v>
      </c>
      <c r="AP103" s="4" t="s">
        <v>514</v>
      </c>
      <c r="AQ103" s="3" t="s">
        <v>32</v>
      </c>
      <c r="AR103" s="44">
        <f t="shared" si="22"/>
        <v>-4.2602443695068359</v>
      </c>
      <c r="AS103" s="44">
        <f t="shared" si="23"/>
        <v>-4.9170932769775391</v>
      </c>
      <c r="AT103" s="44">
        <f t="shared" si="24"/>
        <v>-0.73202991485595703</v>
      </c>
      <c r="AU103" s="44">
        <f t="shared" si="25"/>
        <v>-5.0920619964599609</v>
      </c>
      <c r="AV103" s="44">
        <f t="shared" si="26"/>
        <v>3.0579833984375</v>
      </c>
      <c r="AW103" s="44">
        <f t="shared" si="27"/>
        <v>-0.58147335052490234</v>
      </c>
      <c r="AX103" s="44">
        <f t="shared" si="28"/>
        <v>1.8746614456176758</v>
      </c>
      <c r="AY103" s="44">
        <f t="shared" si="29"/>
        <v>-1.7739934921264648</v>
      </c>
      <c r="AZ103" s="44">
        <f t="shared" si="30"/>
        <v>0.55340862274169922</v>
      </c>
      <c r="BA103" s="44"/>
      <c r="BB103" s="4" t="s">
        <v>514</v>
      </c>
      <c r="BC103" s="3" t="s">
        <v>32</v>
      </c>
      <c r="BD103" s="44" t="e">
        <f>AR103*#REF!</f>
        <v>#REF!</v>
      </c>
      <c r="BE103" s="44" t="e">
        <f>AS103*#REF!</f>
        <v>#REF!</v>
      </c>
      <c r="BF103" s="44" t="e">
        <f>AT103*#REF!</f>
        <v>#REF!</v>
      </c>
      <c r="BG103" s="44" t="e">
        <f>AU103*#REF!</f>
        <v>#REF!</v>
      </c>
      <c r="BH103" s="44" t="e">
        <f>AV103*#REF!</f>
        <v>#REF!</v>
      </c>
      <c r="BI103" s="44" t="e">
        <f>AW103*#REF!</f>
        <v>#REF!</v>
      </c>
      <c r="BJ103" s="44" t="e">
        <f>AX103*#REF!</f>
        <v>#REF!</v>
      </c>
      <c r="BK103" s="44" t="e">
        <f>AY103*#REF!</f>
        <v>#REF!</v>
      </c>
      <c r="BL103" s="44" t="e">
        <f>AZ103*#REF!</f>
        <v>#REF!</v>
      </c>
      <c r="BM103" s="44" t="e">
        <f t="shared" si="31"/>
        <v>#REF!</v>
      </c>
      <c r="BN103" s="83" t="e">
        <f t="shared" si="32"/>
        <v>#REF!</v>
      </c>
      <c r="BP103" s="87">
        <v>99.995764847580332</v>
      </c>
      <c r="BQ103" s="87">
        <v>0.99983600969232544</v>
      </c>
    </row>
    <row r="104" spans="1:69" s="25" customFormat="1" ht="18">
      <c r="A104" s="3" t="s">
        <v>276</v>
      </c>
      <c r="B104" s="3">
        <v>78</v>
      </c>
      <c r="C104" s="21">
        <v>78</v>
      </c>
      <c r="D104" s="3" t="s">
        <v>197</v>
      </c>
      <c r="E104" s="23" t="s">
        <v>361</v>
      </c>
      <c r="F104" s="3"/>
      <c r="G104" s="3"/>
      <c r="H104" s="4" t="s">
        <v>442</v>
      </c>
      <c r="I104" s="3" t="s">
        <v>32</v>
      </c>
      <c r="J104" s="3">
        <v>76</v>
      </c>
      <c r="K104" s="30" t="s">
        <v>118</v>
      </c>
      <c r="L104" s="37">
        <v>44259</v>
      </c>
      <c r="M104" s="3"/>
      <c r="N104" s="3"/>
      <c r="O104" s="3">
        <v>14.74</v>
      </c>
      <c r="P104" s="3">
        <v>1.23</v>
      </c>
      <c r="Q104" s="3">
        <v>0.44</v>
      </c>
      <c r="R104" s="3">
        <v>30</v>
      </c>
      <c r="S104" s="3">
        <v>442.1</v>
      </c>
      <c r="T104" s="39">
        <v>24.502416610717773</v>
      </c>
      <c r="U104" s="39">
        <v>25.381074905395508</v>
      </c>
      <c r="V104" s="39">
        <v>23.727705955505371</v>
      </c>
      <c r="W104" s="39">
        <v>25.347306251525879</v>
      </c>
      <c r="X104" s="39">
        <v>24.753173828125</v>
      </c>
      <c r="Y104" s="39">
        <v>24.656881332397461</v>
      </c>
      <c r="Z104" s="39">
        <v>24.398550987243652</v>
      </c>
      <c r="AA104" s="39">
        <v>25.102024078369141</v>
      </c>
      <c r="AB104" s="39">
        <v>35.625913619995117</v>
      </c>
      <c r="AC104" s="39">
        <v>27.18378734588623</v>
      </c>
      <c r="AD104" s="39">
        <v>30.516537666320801</v>
      </c>
      <c r="AE104" s="39">
        <v>25.600570678710938</v>
      </c>
      <c r="AF104" s="39">
        <v>30.712161064147949</v>
      </c>
      <c r="AG104" s="39">
        <v>25.551772117614746</v>
      </c>
      <c r="AH104" s="39">
        <v>27.680901527404785</v>
      </c>
      <c r="AI104" s="39">
        <v>25.26027774810791</v>
      </c>
      <c r="AJ104" s="39">
        <v>31.578497886657715</v>
      </c>
      <c r="AK104" s="39">
        <v>25.54651927947998</v>
      </c>
      <c r="AL104" s="3" t="s">
        <v>32</v>
      </c>
      <c r="AM104" s="68">
        <f t="shared" si="21"/>
        <v>98.68001848104187</v>
      </c>
      <c r="AP104" s="4" t="s">
        <v>442</v>
      </c>
      <c r="AQ104" s="3" t="s">
        <v>32</v>
      </c>
      <c r="AR104" s="44">
        <f t="shared" si="22"/>
        <v>-0.87865829467773438</v>
      </c>
      <c r="AS104" s="44">
        <f t="shared" si="23"/>
        <v>-1.6196002960205078</v>
      </c>
      <c r="AT104" s="44">
        <f t="shared" si="24"/>
        <v>9.6292495727539062E-2</v>
      </c>
      <c r="AU104" s="44">
        <f t="shared" si="25"/>
        <v>-0.70347309112548828</v>
      </c>
      <c r="AV104" s="44">
        <f t="shared" si="26"/>
        <v>8.4421262741088867</v>
      </c>
      <c r="AW104" s="44">
        <f t="shared" si="27"/>
        <v>4.9159669876098633</v>
      </c>
      <c r="AX104" s="44">
        <f t="shared" si="28"/>
        <v>5.1603889465332031</v>
      </c>
      <c r="AY104" s="44">
        <f t="shared" si="29"/>
        <v>2.420623779296875</v>
      </c>
      <c r="AZ104" s="44">
        <f t="shared" si="30"/>
        <v>6.0319786071777344</v>
      </c>
      <c r="BA104" s="44"/>
      <c r="BB104" s="4" t="s">
        <v>442</v>
      </c>
      <c r="BC104" s="3" t="s">
        <v>32</v>
      </c>
      <c r="BD104" s="44" t="e">
        <f>AR104*#REF!</f>
        <v>#REF!</v>
      </c>
      <c r="BE104" s="44" t="e">
        <f>AS104*#REF!</f>
        <v>#REF!</v>
      </c>
      <c r="BF104" s="44" t="e">
        <f>AT104*#REF!</f>
        <v>#REF!</v>
      </c>
      <c r="BG104" s="44" t="e">
        <f>AU104*#REF!</f>
        <v>#REF!</v>
      </c>
      <c r="BH104" s="44" t="e">
        <f>AV104*#REF!</f>
        <v>#REF!</v>
      </c>
      <c r="BI104" s="44" t="e">
        <f>AW104*#REF!</f>
        <v>#REF!</v>
      </c>
      <c r="BJ104" s="44" t="e">
        <f>AX104*#REF!</f>
        <v>#REF!</v>
      </c>
      <c r="BK104" s="44" t="e">
        <f>AY104*#REF!</f>
        <v>#REF!</v>
      </c>
      <c r="BL104" s="44" t="e">
        <f>AZ104*#REF!</f>
        <v>#REF!</v>
      </c>
      <c r="BM104" s="44" t="e">
        <f t="shared" si="31"/>
        <v>#REF!</v>
      </c>
      <c r="BN104" s="83" t="e">
        <f t="shared" si="32"/>
        <v>#REF!</v>
      </c>
      <c r="BP104" s="87">
        <v>98.68001848104187</v>
      </c>
      <c r="BQ104" s="87">
        <v>0.98786893485060745</v>
      </c>
    </row>
    <row r="105" spans="1:69" s="25" customFormat="1" ht="18">
      <c r="A105" s="3" t="s">
        <v>276</v>
      </c>
      <c r="B105" s="3">
        <v>79</v>
      </c>
      <c r="C105" s="21">
        <v>79</v>
      </c>
      <c r="D105" s="3" t="s">
        <v>198</v>
      </c>
      <c r="E105" s="23" t="s">
        <v>362</v>
      </c>
      <c r="F105" s="3"/>
      <c r="G105" s="3"/>
      <c r="H105" s="4" t="s">
        <v>515</v>
      </c>
      <c r="I105" s="3" t="s">
        <v>32</v>
      </c>
      <c r="J105" s="3">
        <v>73</v>
      </c>
      <c r="K105" s="30" t="s">
        <v>118</v>
      </c>
      <c r="L105" s="37">
        <v>44281</v>
      </c>
      <c r="M105" s="3"/>
      <c r="N105" s="3"/>
      <c r="O105" s="3">
        <v>26.55</v>
      </c>
      <c r="P105" s="3">
        <v>1.28</v>
      </c>
      <c r="Q105" s="3">
        <v>0.45</v>
      </c>
      <c r="R105" s="3">
        <v>30</v>
      </c>
      <c r="S105" s="3">
        <v>796.4</v>
      </c>
      <c r="T105" s="39">
        <v>28.89113712310791</v>
      </c>
      <c r="U105" s="39">
        <v>28.496007919311523</v>
      </c>
      <c r="V105" s="39">
        <v>27.651902198791504</v>
      </c>
      <c r="W105" s="39">
        <v>28.485175132751465</v>
      </c>
      <c r="X105" s="39">
        <v>26.866033554077148</v>
      </c>
      <c r="Y105" s="39">
        <v>27.612871170043945</v>
      </c>
      <c r="Z105" s="39">
        <v>26.83045482635498</v>
      </c>
      <c r="AA105" s="39">
        <v>28.100385665893555</v>
      </c>
      <c r="AB105" s="39">
        <v>38.332115173339844</v>
      </c>
      <c r="AC105" s="39">
        <v>30.367311477661133</v>
      </c>
      <c r="AD105" s="39">
        <v>35.151611328125</v>
      </c>
      <c r="AE105" s="39">
        <v>28.590811729431152</v>
      </c>
      <c r="AF105" s="39">
        <v>33.969203948974609</v>
      </c>
      <c r="AG105" s="39">
        <v>28.617123603820801</v>
      </c>
      <c r="AH105" s="39">
        <v>32.400783538818359</v>
      </c>
      <c r="AI105" s="39">
        <v>28.54137134552002</v>
      </c>
      <c r="AJ105" s="39">
        <v>34.827611923217773</v>
      </c>
      <c r="AK105" s="39">
        <v>28.700798034667969</v>
      </c>
      <c r="AL105" s="3" t="s">
        <v>32</v>
      </c>
      <c r="AM105" s="68">
        <f t="shared" si="21"/>
        <v>99.237458506524362</v>
      </c>
      <c r="AP105" s="4" t="s">
        <v>515</v>
      </c>
      <c r="AQ105" s="3" t="s">
        <v>32</v>
      </c>
      <c r="AR105" s="44">
        <f t="shared" si="22"/>
        <v>0.39512920379638672</v>
      </c>
      <c r="AS105" s="44">
        <f t="shared" si="23"/>
        <v>-0.83327293395996094</v>
      </c>
      <c r="AT105" s="44">
        <f t="shared" si="24"/>
        <v>-0.74683761596679688</v>
      </c>
      <c r="AU105" s="44">
        <f t="shared" si="25"/>
        <v>-1.2699308395385742</v>
      </c>
      <c r="AV105" s="44">
        <f t="shared" si="26"/>
        <v>7.9648036956787109</v>
      </c>
      <c r="AW105" s="44">
        <f t="shared" si="27"/>
        <v>6.5607995986938477</v>
      </c>
      <c r="AX105" s="44">
        <f t="shared" si="28"/>
        <v>5.3520803451538086</v>
      </c>
      <c r="AY105" s="44">
        <f t="shared" si="29"/>
        <v>3.8594121932983398</v>
      </c>
      <c r="AZ105" s="44">
        <f t="shared" si="30"/>
        <v>6.1268138885498047</v>
      </c>
      <c r="BA105" s="44"/>
      <c r="BB105" s="4" t="s">
        <v>515</v>
      </c>
      <c r="BC105" s="3" t="s">
        <v>32</v>
      </c>
      <c r="BD105" s="44" t="e">
        <f>AR105*#REF!</f>
        <v>#REF!</v>
      </c>
      <c r="BE105" s="44" t="e">
        <f>AS105*#REF!</f>
        <v>#REF!</v>
      </c>
      <c r="BF105" s="44" t="e">
        <f>AT105*#REF!</f>
        <v>#REF!</v>
      </c>
      <c r="BG105" s="44" t="e">
        <f>AU105*#REF!</f>
        <v>#REF!</v>
      </c>
      <c r="BH105" s="44" t="e">
        <f>AV105*#REF!</f>
        <v>#REF!</v>
      </c>
      <c r="BI105" s="44" t="e">
        <f>AW105*#REF!</f>
        <v>#REF!</v>
      </c>
      <c r="BJ105" s="44" t="e">
        <f>AX105*#REF!</f>
        <v>#REF!</v>
      </c>
      <c r="BK105" s="44" t="e">
        <f>AY105*#REF!</f>
        <v>#REF!</v>
      </c>
      <c r="BL105" s="44" t="e">
        <f>AZ105*#REF!</f>
        <v>#REF!</v>
      </c>
      <c r="BM105" s="44" t="e">
        <f t="shared" si="31"/>
        <v>#REF!</v>
      </c>
      <c r="BN105" s="83" t="e">
        <f t="shared" si="32"/>
        <v>#REF!</v>
      </c>
      <c r="BP105" s="87">
        <v>99.237458506524362</v>
      </c>
      <c r="BQ105" s="87">
        <v>0.98252153067946957</v>
      </c>
    </row>
    <row r="106" spans="1:69" s="25" customFormat="1" ht="18">
      <c r="A106" s="3" t="s">
        <v>276</v>
      </c>
      <c r="B106" s="3">
        <v>80</v>
      </c>
      <c r="C106" s="21">
        <v>80</v>
      </c>
      <c r="D106" s="3" t="s">
        <v>199</v>
      </c>
      <c r="E106" s="23" t="s">
        <v>363</v>
      </c>
      <c r="F106" s="3"/>
      <c r="G106" s="3"/>
      <c r="H106" s="4" t="s">
        <v>516</v>
      </c>
      <c r="I106" s="3" t="s">
        <v>32</v>
      </c>
      <c r="J106" s="3">
        <v>75</v>
      </c>
      <c r="K106" s="30" t="s">
        <v>118</v>
      </c>
      <c r="L106" s="37"/>
      <c r="M106" s="3"/>
      <c r="N106" s="3"/>
      <c r="O106" s="3">
        <v>23.23</v>
      </c>
      <c r="P106" s="3">
        <v>1.28</v>
      </c>
      <c r="Q106" s="3">
        <v>0.44</v>
      </c>
      <c r="R106" s="3">
        <v>30</v>
      </c>
      <c r="S106" s="3">
        <v>697</v>
      </c>
      <c r="T106" s="39">
        <v>28.27655029296875</v>
      </c>
      <c r="U106" s="39">
        <v>27.994709968566895</v>
      </c>
      <c r="V106" s="39">
        <v>27.082394599914551</v>
      </c>
      <c r="W106" s="39">
        <v>28.057631492614746</v>
      </c>
      <c r="X106" s="39">
        <v>27.696457862854004</v>
      </c>
      <c r="Y106" s="39">
        <v>27.214338302612305</v>
      </c>
      <c r="Z106" s="39">
        <v>26.230566024780273</v>
      </c>
      <c r="AA106" s="39">
        <v>27.545445442199707</v>
      </c>
      <c r="AB106" s="39">
        <v>38.491466522216797</v>
      </c>
      <c r="AC106" s="39">
        <v>29.930032730102539</v>
      </c>
      <c r="AD106" s="39">
        <v>34.503582000732422</v>
      </c>
      <c r="AE106" s="39">
        <v>28.12736701965332</v>
      </c>
      <c r="AF106" s="39">
        <v>33.374195098876953</v>
      </c>
      <c r="AG106" s="39">
        <v>28.083286285400391</v>
      </c>
      <c r="AH106" s="39">
        <v>32.110431671142578</v>
      </c>
      <c r="AI106" s="39">
        <v>28.104535102844238</v>
      </c>
      <c r="AJ106" s="39">
        <v>35.092409133911133</v>
      </c>
      <c r="AK106" s="39">
        <v>28.206748008728027</v>
      </c>
      <c r="AL106" s="3" t="s">
        <v>32</v>
      </c>
      <c r="AM106" s="68">
        <f t="shared" si="21"/>
        <v>99.126036579064532</v>
      </c>
      <c r="AP106" s="4" t="s">
        <v>516</v>
      </c>
      <c r="AQ106" s="3" t="s">
        <v>32</v>
      </c>
      <c r="AR106" s="44">
        <f t="shared" si="22"/>
        <v>0.28184032440185547</v>
      </c>
      <c r="AS106" s="44">
        <f t="shared" si="23"/>
        <v>-0.97523689270019531</v>
      </c>
      <c r="AT106" s="44">
        <f t="shared" si="24"/>
        <v>0.48211956024169922</v>
      </c>
      <c r="AU106" s="44">
        <f t="shared" si="25"/>
        <v>-1.3148794174194336</v>
      </c>
      <c r="AV106" s="44">
        <f t="shared" si="26"/>
        <v>8.5614337921142578</v>
      </c>
      <c r="AW106" s="44">
        <f t="shared" si="27"/>
        <v>6.3762149810791016</v>
      </c>
      <c r="AX106" s="44">
        <f t="shared" si="28"/>
        <v>5.2909088134765625</v>
      </c>
      <c r="AY106" s="44">
        <f t="shared" si="29"/>
        <v>4.0058965682983398</v>
      </c>
      <c r="AZ106" s="44">
        <f t="shared" si="30"/>
        <v>6.8856611251831055</v>
      </c>
      <c r="BA106" s="44"/>
      <c r="BB106" s="4" t="s">
        <v>516</v>
      </c>
      <c r="BC106" s="3" t="s">
        <v>32</v>
      </c>
      <c r="BD106" s="44" t="e">
        <f>AR106*#REF!</f>
        <v>#REF!</v>
      </c>
      <c r="BE106" s="44" t="e">
        <f>AS106*#REF!</f>
        <v>#REF!</v>
      </c>
      <c r="BF106" s="44" t="e">
        <f>AT106*#REF!</f>
        <v>#REF!</v>
      </c>
      <c r="BG106" s="44" t="e">
        <f>AU106*#REF!</f>
        <v>#REF!</v>
      </c>
      <c r="BH106" s="44" t="e">
        <f>AV106*#REF!</f>
        <v>#REF!</v>
      </c>
      <c r="BI106" s="44" t="e">
        <f>AW106*#REF!</f>
        <v>#REF!</v>
      </c>
      <c r="BJ106" s="44" t="e">
        <f>AX106*#REF!</f>
        <v>#REF!</v>
      </c>
      <c r="BK106" s="44" t="e">
        <f>AY106*#REF!</f>
        <v>#REF!</v>
      </c>
      <c r="BL106" s="44" t="e">
        <f>AZ106*#REF!</f>
        <v>#REF!</v>
      </c>
      <c r="BM106" s="44" t="e">
        <f t="shared" si="31"/>
        <v>#REF!</v>
      </c>
      <c r="BN106" s="83" t="e">
        <f t="shared" si="32"/>
        <v>#REF!</v>
      </c>
      <c r="BP106" s="87">
        <v>99.126036579064532</v>
      </c>
      <c r="BQ106" s="87">
        <v>0.97192686447241383</v>
      </c>
    </row>
    <row r="107" spans="1:69" s="25" customFormat="1" ht="18">
      <c r="A107" s="3" t="s">
        <v>276</v>
      </c>
      <c r="B107" s="3">
        <v>81</v>
      </c>
      <c r="C107" s="21">
        <v>81</v>
      </c>
      <c r="D107" s="3" t="s">
        <v>200</v>
      </c>
      <c r="E107" s="23" t="s">
        <v>364</v>
      </c>
      <c r="F107" s="3"/>
      <c r="G107" s="3"/>
      <c r="H107" s="4" t="s">
        <v>517</v>
      </c>
      <c r="I107" s="3" t="s">
        <v>32</v>
      </c>
      <c r="J107" s="3">
        <v>70</v>
      </c>
      <c r="K107" s="30" t="s">
        <v>118</v>
      </c>
      <c r="L107" s="37"/>
      <c r="M107" s="3"/>
      <c r="N107" s="3"/>
      <c r="O107" s="3">
        <v>32.049999999999997</v>
      </c>
      <c r="P107" s="3">
        <v>1.35</v>
      </c>
      <c r="Q107" s="3">
        <v>0.47</v>
      </c>
      <c r="R107" s="3">
        <v>30</v>
      </c>
      <c r="S107" s="3">
        <v>961.6</v>
      </c>
      <c r="T107" s="39">
        <v>26.686229705810547</v>
      </c>
      <c r="U107" s="39">
        <v>26.763471603393555</v>
      </c>
      <c r="V107" s="39">
        <v>25.694684982299805</v>
      </c>
      <c r="W107" s="39">
        <v>26.605630874633789</v>
      </c>
      <c r="X107" s="39">
        <v>24.47816276550293</v>
      </c>
      <c r="Y107" s="39">
        <v>25.671381950378418</v>
      </c>
      <c r="Z107" s="39">
        <v>24.821125984191895</v>
      </c>
      <c r="AA107" s="39">
        <v>26.080966949462891</v>
      </c>
      <c r="AB107" s="39">
        <v>36.54460334777832</v>
      </c>
      <c r="AC107" s="39">
        <v>28.710611343383789</v>
      </c>
      <c r="AD107" s="39">
        <v>33.157686233520508</v>
      </c>
      <c r="AE107" s="39">
        <v>26.841358184814453</v>
      </c>
      <c r="AF107" s="39">
        <v>30.386046409606934</v>
      </c>
      <c r="AG107" s="39">
        <v>26.748113632202148</v>
      </c>
      <c r="AH107" s="39">
        <v>30.522306442260742</v>
      </c>
      <c r="AI107" s="39">
        <v>26.612688064575195</v>
      </c>
      <c r="AJ107" s="39">
        <v>32.27690315246582</v>
      </c>
      <c r="AK107" s="39">
        <v>26.831153869628906</v>
      </c>
      <c r="AL107" s="3" t="s">
        <v>32</v>
      </c>
      <c r="AM107" s="68">
        <f t="shared" si="21"/>
        <v>99.956018169141487</v>
      </c>
      <c r="AP107" s="4" t="s">
        <v>517</v>
      </c>
      <c r="AQ107" s="3" t="s">
        <v>32</v>
      </c>
      <c r="AR107" s="44">
        <f t="shared" si="22"/>
        <v>-7.7241897583007812E-2</v>
      </c>
      <c r="AS107" s="44">
        <f t="shared" si="23"/>
        <v>-0.91094589233398438</v>
      </c>
      <c r="AT107" s="44">
        <f t="shared" si="24"/>
        <v>-1.1932191848754883</v>
      </c>
      <c r="AU107" s="44">
        <f t="shared" si="25"/>
        <v>-1.2598409652709961</v>
      </c>
      <c r="AV107" s="44">
        <f t="shared" si="26"/>
        <v>7.8339920043945312</v>
      </c>
      <c r="AW107" s="44">
        <f t="shared" si="27"/>
        <v>6.3163280487060547</v>
      </c>
      <c r="AX107" s="44">
        <f t="shared" si="28"/>
        <v>3.6379327774047852</v>
      </c>
      <c r="AY107" s="44">
        <f t="shared" si="29"/>
        <v>3.9096183776855469</v>
      </c>
      <c r="AZ107" s="44">
        <f t="shared" si="30"/>
        <v>5.4457492828369141</v>
      </c>
      <c r="BA107" s="44"/>
      <c r="BB107" s="4" t="s">
        <v>517</v>
      </c>
      <c r="BC107" s="3" t="s">
        <v>32</v>
      </c>
      <c r="BD107" s="44" t="e">
        <f>AR107*#REF!</f>
        <v>#REF!</v>
      </c>
      <c r="BE107" s="44" t="e">
        <f>AS107*#REF!</f>
        <v>#REF!</v>
      </c>
      <c r="BF107" s="44" t="e">
        <f>AT107*#REF!</f>
        <v>#REF!</v>
      </c>
      <c r="BG107" s="44" t="e">
        <f>AU107*#REF!</f>
        <v>#REF!</v>
      </c>
      <c r="BH107" s="44" t="e">
        <f>AV107*#REF!</f>
        <v>#REF!</v>
      </c>
      <c r="BI107" s="44" t="e">
        <f>AW107*#REF!</f>
        <v>#REF!</v>
      </c>
      <c r="BJ107" s="44" t="e">
        <f>AX107*#REF!</f>
        <v>#REF!</v>
      </c>
      <c r="BK107" s="44" t="e">
        <f>AY107*#REF!</f>
        <v>#REF!</v>
      </c>
      <c r="BL107" s="44" t="e">
        <f>AZ107*#REF!</f>
        <v>#REF!</v>
      </c>
      <c r="BM107" s="44" t="e">
        <f t="shared" si="31"/>
        <v>#REF!</v>
      </c>
      <c r="BN107" s="83" t="e">
        <f t="shared" si="32"/>
        <v>#REF!</v>
      </c>
      <c r="BP107" s="87">
        <v>99.956018169141487</v>
      </c>
      <c r="BQ107" s="87">
        <v>0.99624277266606742</v>
      </c>
    </row>
    <row r="108" spans="1:69" s="25" customFormat="1" ht="18">
      <c r="A108" s="3" t="s">
        <v>276</v>
      </c>
      <c r="B108" s="3">
        <v>82</v>
      </c>
      <c r="C108" s="21">
        <v>82</v>
      </c>
      <c r="D108" s="22" t="s">
        <v>201</v>
      </c>
      <c r="E108" s="23" t="s">
        <v>365</v>
      </c>
      <c r="F108" s="3"/>
      <c r="G108" s="3"/>
      <c r="H108" s="4" t="s">
        <v>518</v>
      </c>
      <c r="I108" s="24" t="s">
        <v>32</v>
      </c>
      <c r="J108" s="24">
        <v>77</v>
      </c>
      <c r="K108" s="24" t="s">
        <v>184</v>
      </c>
      <c r="L108" s="35">
        <v>20190522</v>
      </c>
      <c r="M108" s="3"/>
      <c r="N108" s="3"/>
      <c r="O108" s="3">
        <v>31.93</v>
      </c>
      <c r="P108" s="3">
        <v>1.37</v>
      </c>
      <c r="Q108" s="3">
        <v>0.46</v>
      </c>
      <c r="R108" s="3">
        <v>30</v>
      </c>
      <c r="S108" s="3">
        <v>958</v>
      </c>
      <c r="T108" s="39">
        <v>26.978878974914551</v>
      </c>
      <c r="U108" s="39">
        <v>27.721588134765625</v>
      </c>
      <c r="V108" s="39">
        <v>25.995094299316406</v>
      </c>
      <c r="W108" s="39">
        <v>27.54952335357666</v>
      </c>
      <c r="X108" s="39">
        <v>26.058254241943359</v>
      </c>
      <c r="Y108" s="39">
        <v>26.76720142364502</v>
      </c>
      <c r="Z108" s="39">
        <v>25.112521171569824</v>
      </c>
      <c r="AA108" s="39">
        <v>26.989953994750977</v>
      </c>
      <c r="AB108" s="39">
        <v>36.418813705444336</v>
      </c>
      <c r="AC108" s="39">
        <v>29.87239933013916</v>
      </c>
      <c r="AD108" s="39">
        <v>33.411354064941406</v>
      </c>
      <c r="AE108" s="39">
        <v>27.771604537963867</v>
      </c>
      <c r="AF108" s="39">
        <v>29.409149169921875</v>
      </c>
      <c r="AG108" s="39">
        <v>27.693821907043457</v>
      </c>
      <c r="AH108" s="39">
        <v>30.659111976623535</v>
      </c>
      <c r="AI108" s="39">
        <v>27.538874626159668</v>
      </c>
      <c r="AJ108" s="39">
        <v>31.494818687438965</v>
      </c>
      <c r="AK108" s="39">
        <v>27.627292633056641</v>
      </c>
      <c r="AL108" s="24" t="s">
        <v>32</v>
      </c>
      <c r="AM108" s="68">
        <f t="shared" si="21"/>
        <v>99.998683786986433</v>
      </c>
      <c r="AP108" s="4" t="s">
        <v>518</v>
      </c>
      <c r="AQ108" s="24" t="s">
        <v>32</v>
      </c>
      <c r="AR108" s="44">
        <f t="shared" si="22"/>
        <v>-0.74270915985107422</v>
      </c>
      <c r="AS108" s="44">
        <f t="shared" si="23"/>
        <v>-1.5544290542602539</v>
      </c>
      <c r="AT108" s="44">
        <f t="shared" si="24"/>
        <v>-0.70894718170166016</v>
      </c>
      <c r="AU108" s="44">
        <f t="shared" si="25"/>
        <v>-1.8774328231811523</v>
      </c>
      <c r="AV108" s="44">
        <f t="shared" si="26"/>
        <v>6.5464143753051758</v>
      </c>
      <c r="AW108" s="44">
        <f t="shared" si="27"/>
        <v>5.6397495269775391</v>
      </c>
      <c r="AX108" s="44">
        <f t="shared" si="28"/>
        <v>1.715327262878418</v>
      </c>
      <c r="AY108" s="44">
        <f t="shared" si="29"/>
        <v>3.1202373504638672</v>
      </c>
      <c r="AZ108" s="44">
        <f t="shared" si="30"/>
        <v>3.8675260543823242</v>
      </c>
      <c r="BA108" s="44"/>
      <c r="BB108" s="4" t="s">
        <v>518</v>
      </c>
      <c r="BC108" s="24" t="s">
        <v>32</v>
      </c>
      <c r="BD108" s="44" t="e">
        <f>AR108*#REF!</f>
        <v>#REF!</v>
      </c>
      <c r="BE108" s="44" t="e">
        <f>AS108*#REF!</f>
        <v>#REF!</v>
      </c>
      <c r="BF108" s="44" t="e">
        <f>AT108*#REF!</f>
        <v>#REF!</v>
      </c>
      <c r="BG108" s="44" t="e">
        <f>AU108*#REF!</f>
        <v>#REF!</v>
      </c>
      <c r="BH108" s="44" t="e">
        <f>AV108*#REF!</f>
        <v>#REF!</v>
      </c>
      <c r="BI108" s="44" t="e">
        <f>AW108*#REF!</f>
        <v>#REF!</v>
      </c>
      <c r="BJ108" s="44" t="e">
        <f>AX108*#REF!</f>
        <v>#REF!</v>
      </c>
      <c r="BK108" s="44" t="e">
        <f>AY108*#REF!</f>
        <v>#REF!</v>
      </c>
      <c r="BL108" s="44" t="e">
        <f>AZ108*#REF!</f>
        <v>#REF!</v>
      </c>
      <c r="BM108" s="44" t="e">
        <f t="shared" si="31"/>
        <v>#REF!</v>
      </c>
      <c r="BN108" s="83" t="e">
        <f t="shared" si="32"/>
        <v>#REF!</v>
      </c>
      <c r="BP108" s="87">
        <v>99.998683786986433</v>
      </c>
      <c r="BQ108" s="87">
        <v>0.99941189432320554</v>
      </c>
    </row>
    <row r="109" spans="1:69" s="25" customFormat="1" ht="18">
      <c r="A109" s="3" t="s">
        <v>276</v>
      </c>
      <c r="B109" s="3">
        <v>83</v>
      </c>
      <c r="C109" s="21">
        <v>83</v>
      </c>
      <c r="D109" s="22" t="s">
        <v>202</v>
      </c>
      <c r="E109" s="23" t="s">
        <v>366</v>
      </c>
      <c r="F109" s="3"/>
      <c r="G109" s="3"/>
      <c r="H109" s="4" t="s">
        <v>519</v>
      </c>
      <c r="I109" s="24" t="s">
        <v>32</v>
      </c>
      <c r="J109" s="24">
        <v>77</v>
      </c>
      <c r="K109" s="24" t="s">
        <v>184</v>
      </c>
      <c r="L109" s="35">
        <v>20190424</v>
      </c>
      <c r="M109" s="3"/>
      <c r="N109" s="3"/>
      <c r="O109" s="3">
        <v>33.299999999999997</v>
      </c>
      <c r="P109" s="3">
        <v>1.36</v>
      </c>
      <c r="Q109" s="3">
        <v>0.45</v>
      </c>
      <c r="R109" s="3">
        <v>30</v>
      </c>
      <c r="S109" s="3">
        <v>999</v>
      </c>
      <c r="T109" s="39">
        <v>24.682843208312988</v>
      </c>
      <c r="U109" s="39">
        <v>26.401603698730469</v>
      </c>
      <c r="V109" s="39">
        <v>23.697101593017578</v>
      </c>
      <c r="W109" s="39">
        <v>26.241684913635254</v>
      </c>
      <c r="X109" s="39">
        <v>23.682877540588379</v>
      </c>
      <c r="Y109" s="39">
        <v>25.720033645629883</v>
      </c>
      <c r="Z109" s="39">
        <v>23.248002052307129</v>
      </c>
      <c r="AA109" s="39">
        <v>25.741373062133789</v>
      </c>
      <c r="AB109" s="39">
        <v>33.647216796875</v>
      </c>
      <c r="AC109" s="39">
        <v>28.54864501953125</v>
      </c>
      <c r="AD109" s="39">
        <v>30.239274024963379</v>
      </c>
      <c r="AE109" s="39">
        <v>26.566268920898438</v>
      </c>
      <c r="AF109" s="39">
        <v>29.28883171081543</v>
      </c>
      <c r="AG109" s="39">
        <v>26.580825805664062</v>
      </c>
      <c r="AH109" s="39">
        <v>27.922919273376465</v>
      </c>
      <c r="AI109" s="39">
        <v>26.013730049133301</v>
      </c>
      <c r="AJ109" s="39">
        <v>30.072376251220703</v>
      </c>
      <c r="AK109" s="39">
        <v>26.425617218017578</v>
      </c>
      <c r="AL109" s="24" t="s">
        <v>32</v>
      </c>
      <c r="AM109" s="68">
        <f t="shared" si="21"/>
        <v>99.991696335243716</v>
      </c>
      <c r="AP109" s="4" t="s">
        <v>519</v>
      </c>
      <c r="AQ109" s="24" t="s">
        <v>32</v>
      </c>
      <c r="AR109" s="44">
        <f t="shared" si="22"/>
        <v>-1.7187604904174805</v>
      </c>
      <c r="AS109" s="44">
        <f t="shared" si="23"/>
        <v>-2.5445833206176758</v>
      </c>
      <c r="AT109" s="44">
        <f t="shared" si="24"/>
        <v>-2.0371561050415039</v>
      </c>
      <c r="AU109" s="44">
        <f t="shared" si="25"/>
        <v>-2.4933710098266602</v>
      </c>
      <c r="AV109" s="44">
        <f t="shared" si="26"/>
        <v>5.09857177734375</v>
      </c>
      <c r="AW109" s="44">
        <f t="shared" si="27"/>
        <v>3.6730051040649414</v>
      </c>
      <c r="AX109" s="44">
        <f t="shared" si="28"/>
        <v>2.7080059051513672</v>
      </c>
      <c r="AY109" s="44">
        <f t="shared" si="29"/>
        <v>1.9091892242431641</v>
      </c>
      <c r="AZ109" s="44">
        <f t="shared" si="30"/>
        <v>3.646759033203125</v>
      </c>
      <c r="BA109" s="44"/>
      <c r="BB109" s="4" t="s">
        <v>519</v>
      </c>
      <c r="BC109" s="24" t="s">
        <v>32</v>
      </c>
      <c r="BD109" s="44" t="e">
        <f>AR109*#REF!</f>
        <v>#REF!</v>
      </c>
      <c r="BE109" s="44" t="e">
        <f>AS109*#REF!</f>
        <v>#REF!</v>
      </c>
      <c r="BF109" s="44" t="e">
        <f>AT109*#REF!</f>
        <v>#REF!</v>
      </c>
      <c r="BG109" s="44" t="e">
        <f>AU109*#REF!</f>
        <v>#REF!</v>
      </c>
      <c r="BH109" s="44" t="e">
        <f>AV109*#REF!</f>
        <v>#REF!</v>
      </c>
      <c r="BI109" s="44" t="e">
        <f>AW109*#REF!</f>
        <v>#REF!</v>
      </c>
      <c r="BJ109" s="44" t="e">
        <f>AX109*#REF!</f>
        <v>#REF!</v>
      </c>
      <c r="BK109" s="44" t="e">
        <f>AY109*#REF!</f>
        <v>#REF!</v>
      </c>
      <c r="BL109" s="44" t="e">
        <f>AZ109*#REF!</f>
        <v>#REF!</v>
      </c>
      <c r="BM109" s="44" t="e">
        <f t="shared" si="31"/>
        <v>#REF!</v>
      </c>
      <c r="BN109" s="83" t="e">
        <f t="shared" si="32"/>
        <v>#REF!</v>
      </c>
      <c r="BP109" s="87">
        <v>99.991696335243716</v>
      </c>
      <c r="BQ109" s="87">
        <v>0.99957406274652205</v>
      </c>
    </row>
    <row r="110" spans="1:69" s="25" customFormat="1" ht="18">
      <c r="A110" s="3" t="s">
        <v>276</v>
      </c>
      <c r="B110" s="3">
        <v>84</v>
      </c>
      <c r="C110" s="21">
        <v>84</v>
      </c>
      <c r="D110" s="22" t="s">
        <v>203</v>
      </c>
      <c r="E110" s="23" t="s">
        <v>367</v>
      </c>
      <c r="F110" s="3"/>
      <c r="G110" s="3"/>
      <c r="H110" s="4" t="s">
        <v>520</v>
      </c>
      <c r="I110" s="24" t="s">
        <v>32</v>
      </c>
      <c r="J110" s="24">
        <v>78</v>
      </c>
      <c r="K110" s="24" t="s">
        <v>184</v>
      </c>
      <c r="L110" s="35">
        <v>20191106</v>
      </c>
      <c r="M110" s="3"/>
      <c r="N110" s="3"/>
      <c r="O110" s="3">
        <v>29.87</v>
      </c>
      <c r="P110" s="3">
        <v>1.37</v>
      </c>
      <c r="Q110" s="3">
        <v>0.46</v>
      </c>
      <c r="R110" s="3">
        <v>30</v>
      </c>
      <c r="S110" s="3">
        <v>896.1</v>
      </c>
      <c r="T110" s="39">
        <v>24.884719848632812</v>
      </c>
      <c r="U110" s="39">
        <v>26.308355331420898</v>
      </c>
      <c r="V110" s="39">
        <v>23.945464134216309</v>
      </c>
      <c r="W110" s="39">
        <v>26.074007987976074</v>
      </c>
      <c r="X110" s="39">
        <v>25.912312507629395</v>
      </c>
      <c r="Y110" s="39">
        <v>25.55609130859375</v>
      </c>
      <c r="Z110" s="39">
        <v>25.740805625915527</v>
      </c>
      <c r="AA110" s="39">
        <v>25.99695873260498</v>
      </c>
      <c r="AB110" s="39">
        <v>36.756757736206055</v>
      </c>
      <c r="AC110" s="39">
        <v>28.379002571105957</v>
      </c>
      <c r="AD110" s="39">
        <v>30.771811485290527</v>
      </c>
      <c r="AE110" s="39">
        <v>26.469895362854004</v>
      </c>
      <c r="AF110" s="39">
        <v>33.222408294677734</v>
      </c>
      <c r="AG110" s="39">
        <v>26.441046714782715</v>
      </c>
      <c r="AH110" s="39">
        <v>28.282909393310547</v>
      </c>
      <c r="AI110" s="39">
        <v>26.023833274841309</v>
      </c>
      <c r="AJ110" s="39">
        <v>32.749534606933594</v>
      </c>
      <c r="AK110" s="39">
        <v>26.470312118530273</v>
      </c>
      <c r="AL110" s="24" t="s">
        <v>32</v>
      </c>
      <c r="AM110" s="68">
        <f t="shared" si="21"/>
        <v>74.956833970774426</v>
      </c>
      <c r="AP110" s="4" t="s">
        <v>520</v>
      </c>
      <c r="AQ110" s="24" t="s">
        <v>32</v>
      </c>
      <c r="AR110" s="44">
        <f t="shared" si="22"/>
        <v>-1.4236354827880859</v>
      </c>
      <c r="AS110" s="44">
        <f t="shared" si="23"/>
        <v>-2.1285438537597656</v>
      </c>
      <c r="AT110" s="44">
        <f t="shared" si="24"/>
        <v>0.35622119903564453</v>
      </c>
      <c r="AU110" s="44">
        <f t="shared" si="25"/>
        <v>-0.25615310668945312</v>
      </c>
      <c r="AV110" s="44">
        <f t="shared" si="26"/>
        <v>8.3777551651000977</v>
      </c>
      <c r="AW110" s="44">
        <f t="shared" si="27"/>
        <v>4.3019161224365234</v>
      </c>
      <c r="AX110" s="44">
        <f t="shared" si="28"/>
        <v>6.7813615798950195</v>
      </c>
      <c r="AY110" s="44">
        <f t="shared" si="29"/>
        <v>2.2590761184692383</v>
      </c>
      <c r="AZ110" s="44">
        <f t="shared" si="30"/>
        <v>6.2792224884033203</v>
      </c>
      <c r="BA110" s="44"/>
      <c r="BB110" s="4" t="s">
        <v>520</v>
      </c>
      <c r="BC110" s="24" t="s">
        <v>32</v>
      </c>
      <c r="BD110" s="44" t="e">
        <f>AR110*#REF!</f>
        <v>#REF!</v>
      </c>
      <c r="BE110" s="44" t="e">
        <f>AS110*#REF!</f>
        <v>#REF!</v>
      </c>
      <c r="BF110" s="44" t="e">
        <f>AT110*#REF!</f>
        <v>#REF!</v>
      </c>
      <c r="BG110" s="44" t="e">
        <f>AU110*#REF!</f>
        <v>#REF!</v>
      </c>
      <c r="BH110" s="44" t="e">
        <f>AV110*#REF!</f>
        <v>#REF!</v>
      </c>
      <c r="BI110" s="44" t="e">
        <f>AW110*#REF!</f>
        <v>#REF!</v>
      </c>
      <c r="BJ110" s="44" t="e">
        <f>AX110*#REF!</f>
        <v>#REF!</v>
      </c>
      <c r="BK110" s="44" t="e">
        <f>AY110*#REF!</f>
        <v>#REF!</v>
      </c>
      <c r="BL110" s="44" t="e">
        <f>AZ110*#REF!</f>
        <v>#REF!</v>
      </c>
      <c r="BM110" s="44" t="e">
        <f t="shared" si="31"/>
        <v>#REF!</v>
      </c>
      <c r="BN110" s="83" t="e">
        <f t="shared" si="32"/>
        <v>#REF!</v>
      </c>
      <c r="BP110" s="87">
        <v>74.956833970774426</v>
      </c>
      <c r="BQ110" s="87">
        <v>0.9624941870865622</v>
      </c>
    </row>
    <row r="111" spans="1:69" s="25" customFormat="1" ht="18">
      <c r="A111" s="3" t="s">
        <v>276</v>
      </c>
      <c r="B111" s="3">
        <v>85</v>
      </c>
      <c r="C111" s="21">
        <v>85</v>
      </c>
      <c r="D111" s="22" t="s">
        <v>204</v>
      </c>
      <c r="E111" s="23" t="s">
        <v>368</v>
      </c>
      <c r="F111" s="3"/>
      <c r="G111" s="3"/>
      <c r="H111" s="4" t="s">
        <v>521</v>
      </c>
      <c r="I111" s="24" t="s">
        <v>32</v>
      </c>
      <c r="J111" s="24">
        <v>78</v>
      </c>
      <c r="K111" s="24" t="s">
        <v>184</v>
      </c>
      <c r="L111" s="35">
        <v>20200706</v>
      </c>
      <c r="M111" s="3"/>
      <c r="N111" s="3"/>
      <c r="O111" s="3">
        <v>40.61</v>
      </c>
      <c r="P111" s="3">
        <v>1.41</v>
      </c>
      <c r="Q111" s="3">
        <v>0.5</v>
      </c>
      <c r="R111" s="3">
        <v>30</v>
      </c>
      <c r="S111" s="3">
        <v>1218.4000000000001</v>
      </c>
      <c r="T111" s="39">
        <v>23.256704330444336</v>
      </c>
      <c r="U111" s="39">
        <v>25.001542091369629</v>
      </c>
      <c r="V111" s="39">
        <v>22.414273262023926</v>
      </c>
      <c r="W111" s="39">
        <v>24.897617340087891</v>
      </c>
      <c r="X111" s="39">
        <v>25.451900482177734</v>
      </c>
      <c r="Y111" s="39">
        <v>24.421998977661133</v>
      </c>
      <c r="Z111" s="39">
        <v>24.294538497924805</v>
      </c>
      <c r="AA111" s="39">
        <v>24.783403396606445</v>
      </c>
      <c r="AB111" s="39">
        <v>34.93004035949707</v>
      </c>
      <c r="AC111" s="39">
        <v>27.11083984375</v>
      </c>
      <c r="AD111" s="39">
        <v>28.984077453613281</v>
      </c>
      <c r="AE111" s="39">
        <v>25.107158660888672</v>
      </c>
      <c r="AF111" s="39">
        <v>31.479711532592773</v>
      </c>
      <c r="AG111" s="39">
        <v>25.20649528503418</v>
      </c>
      <c r="AH111" s="39">
        <v>26.481951713562012</v>
      </c>
      <c r="AI111" s="39">
        <v>24.748069763183594</v>
      </c>
      <c r="AJ111" s="39">
        <v>30.73013973236084</v>
      </c>
      <c r="AK111" s="39">
        <v>25.270269393920898</v>
      </c>
      <c r="AL111" s="24" t="s">
        <v>32</v>
      </c>
      <c r="AM111" s="68">
        <f t="shared" si="21"/>
        <v>88.112733423548534</v>
      </c>
      <c r="AP111" s="4" t="s">
        <v>521</v>
      </c>
      <c r="AQ111" s="24" t="s">
        <v>32</v>
      </c>
      <c r="AR111" s="44">
        <f t="shared" si="22"/>
        <v>-1.744837760925293</v>
      </c>
      <c r="AS111" s="44">
        <f t="shared" si="23"/>
        <v>-2.4833440780639648</v>
      </c>
      <c r="AT111" s="44">
        <f t="shared" si="24"/>
        <v>1.0299015045166016</v>
      </c>
      <c r="AU111" s="44">
        <f t="shared" si="25"/>
        <v>-0.48886489868164062</v>
      </c>
      <c r="AV111" s="44">
        <f t="shared" si="26"/>
        <v>7.8192005157470703</v>
      </c>
      <c r="AW111" s="44">
        <f t="shared" si="27"/>
        <v>3.8769187927246094</v>
      </c>
      <c r="AX111" s="44">
        <f t="shared" si="28"/>
        <v>6.2732162475585938</v>
      </c>
      <c r="AY111" s="44">
        <f t="shared" si="29"/>
        <v>1.733881950378418</v>
      </c>
      <c r="AZ111" s="44">
        <f t="shared" si="30"/>
        <v>5.4598703384399414</v>
      </c>
      <c r="BA111" s="44"/>
      <c r="BB111" s="4" t="s">
        <v>521</v>
      </c>
      <c r="BC111" s="24" t="s">
        <v>32</v>
      </c>
      <c r="BD111" s="44" t="e">
        <f>AR111*#REF!</f>
        <v>#REF!</v>
      </c>
      <c r="BE111" s="44" t="e">
        <f>AS111*#REF!</f>
        <v>#REF!</v>
      </c>
      <c r="BF111" s="44" t="e">
        <f>AT111*#REF!</f>
        <v>#REF!</v>
      </c>
      <c r="BG111" s="44" t="e">
        <f>AU111*#REF!</f>
        <v>#REF!</v>
      </c>
      <c r="BH111" s="44" t="e">
        <f>AV111*#REF!</f>
        <v>#REF!</v>
      </c>
      <c r="BI111" s="44" t="e">
        <f>AW111*#REF!</f>
        <v>#REF!</v>
      </c>
      <c r="BJ111" s="44" t="e">
        <f>AX111*#REF!</f>
        <v>#REF!</v>
      </c>
      <c r="BK111" s="44" t="e">
        <f>AY111*#REF!</f>
        <v>#REF!</v>
      </c>
      <c r="BL111" s="44" t="e">
        <f>AZ111*#REF!</f>
        <v>#REF!</v>
      </c>
      <c r="BM111" s="44" t="e">
        <f t="shared" si="31"/>
        <v>#REF!</v>
      </c>
      <c r="BN111" s="83" t="e">
        <f t="shared" si="32"/>
        <v>#REF!</v>
      </c>
      <c r="BP111" s="87">
        <v>88.112733423548534</v>
      </c>
      <c r="BQ111" s="87">
        <v>0.9756331578642824</v>
      </c>
    </row>
    <row r="112" spans="1:69" s="25" customFormat="1" ht="18">
      <c r="A112" s="3" t="s">
        <v>276</v>
      </c>
      <c r="B112" s="3">
        <v>86</v>
      </c>
      <c r="C112" s="21">
        <v>86</v>
      </c>
      <c r="D112" s="31" t="s">
        <v>205</v>
      </c>
      <c r="E112" s="23" t="s">
        <v>369</v>
      </c>
      <c r="F112" s="3"/>
      <c r="G112" s="3"/>
      <c r="H112" s="4" t="s">
        <v>522</v>
      </c>
      <c r="I112" s="24" t="s">
        <v>32</v>
      </c>
      <c r="J112" s="24">
        <v>80</v>
      </c>
      <c r="K112" s="24" t="s">
        <v>184</v>
      </c>
      <c r="L112" s="35">
        <v>20190129</v>
      </c>
      <c r="M112" s="3"/>
      <c r="N112" s="3"/>
      <c r="O112" s="3">
        <v>21.67</v>
      </c>
      <c r="P112" s="3">
        <v>1.3</v>
      </c>
      <c r="Q112" s="3">
        <v>0.41</v>
      </c>
      <c r="R112" s="3">
        <v>30</v>
      </c>
      <c r="S112" s="3">
        <v>650.1</v>
      </c>
      <c r="T112" s="39">
        <v>28.33339786529541</v>
      </c>
      <c r="U112" s="39">
        <v>27.625732421875</v>
      </c>
      <c r="V112" s="39">
        <v>26.94734001159668</v>
      </c>
      <c r="W112" s="39">
        <v>27.567037582397461</v>
      </c>
      <c r="X112" s="39">
        <v>24.784289360046387</v>
      </c>
      <c r="Y112" s="39">
        <v>26.594040870666504</v>
      </c>
      <c r="Z112" s="39">
        <v>24.442578315734863</v>
      </c>
      <c r="AA112" s="39">
        <v>26.8455810546875</v>
      </c>
      <c r="AB112" s="39">
        <v>36.448951721191406</v>
      </c>
      <c r="AC112" s="39">
        <v>29.682312965393066</v>
      </c>
      <c r="AD112" s="39">
        <v>33.559768676757812</v>
      </c>
      <c r="AE112" s="39">
        <v>27.723049163818359</v>
      </c>
      <c r="AF112" s="39">
        <v>30.23143482208252</v>
      </c>
      <c r="AG112" s="39">
        <v>27.629061698913574</v>
      </c>
      <c r="AH112" s="39">
        <v>31.191485404968262</v>
      </c>
      <c r="AI112" s="39">
        <v>27.57440185546875</v>
      </c>
      <c r="AJ112" s="39">
        <v>33.485752105712891</v>
      </c>
      <c r="AK112" s="39">
        <v>27.659194946289062</v>
      </c>
      <c r="AL112" s="24" t="s">
        <v>32</v>
      </c>
      <c r="AM112" s="68">
        <f t="shared" si="21"/>
        <v>99.997126785356656</v>
      </c>
      <c r="AP112" s="4" t="s">
        <v>522</v>
      </c>
      <c r="AQ112" s="24" t="s">
        <v>32</v>
      </c>
      <c r="AR112" s="44">
        <f t="shared" si="22"/>
        <v>0.70766544342041016</v>
      </c>
      <c r="AS112" s="44">
        <f t="shared" si="23"/>
        <v>-0.61969757080078125</v>
      </c>
      <c r="AT112" s="44">
        <f t="shared" si="24"/>
        <v>-1.8097515106201172</v>
      </c>
      <c r="AU112" s="44">
        <f t="shared" si="25"/>
        <v>-2.4030027389526367</v>
      </c>
      <c r="AV112" s="44">
        <f t="shared" si="26"/>
        <v>6.7666387557983398</v>
      </c>
      <c r="AW112" s="44">
        <f t="shared" si="27"/>
        <v>5.8367195129394531</v>
      </c>
      <c r="AX112" s="44">
        <f t="shared" si="28"/>
        <v>2.6023731231689453</v>
      </c>
      <c r="AY112" s="44">
        <f t="shared" si="29"/>
        <v>3.6170835494995117</v>
      </c>
      <c r="AZ112" s="44">
        <f t="shared" si="30"/>
        <v>5.8265571594238281</v>
      </c>
      <c r="BA112" s="44"/>
      <c r="BB112" s="4" t="s">
        <v>522</v>
      </c>
      <c r="BC112" s="24" t="s">
        <v>32</v>
      </c>
      <c r="BD112" s="44" t="e">
        <f>AR112*#REF!</f>
        <v>#REF!</v>
      </c>
      <c r="BE112" s="44" t="e">
        <f>AS112*#REF!</f>
        <v>#REF!</v>
      </c>
      <c r="BF112" s="44" t="e">
        <f>AT112*#REF!</f>
        <v>#REF!</v>
      </c>
      <c r="BG112" s="44" t="e">
        <f>AU112*#REF!</f>
        <v>#REF!</v>
      </c>
      <c r="BH112" s="44" t="e">
        <f>AV112*#REF!</f>
        <v>#REF!</v>
      </c>
      <c r="BI112" s="44" t="e">
        <f>AW112*#REF!</f>
        <v>#REF!</v>
      </c>
      <c r="BJ112" s="44" t="e">
        <f>AX112*#REF!</f>
        <v>#REF!</v>
      </c>
      <c r="BK112" s="44" t="e">
        <f>AY112*#REF!</f>
        <v>#REF!</v>
      </c>
      <c r="BL112" s="44" t="e">
        <f>AZ112*#REF!</f>
        <v>#REF!</v>
      </c>
      <c r="BM112" s="44" t="e">
        <f t="shared" si="31"/>
        <v>#REF!</v>
      </c>
      <c r="BN112" s="83" t="e">
        <f t="shared" si="32"/>
        <v>#REF!</v>
      </c>
      <c r="BP112" s="87">
        <v>99.997126785356656</v>
      </c>
      <c r="BQ112" s="87">
        <v>0.99898166673646971</v>
      </c>
    </row>
    <row r="113" spans="1:69" s="25" customFormat="1" ht="18">
      <c r="A113" s="3" t="s">
        <v>276</v>
      </c>
      <c r="B113" s="3">
        <v>87</v>
      </c>
      <c r="C113" s="21">
        <v>87</v>
      </c>
      <c r="D113" s="22" t="s">
        <v>206</v>
      </c>
      <c r="E113" s="23" t="s">
        <v>370</v>
      </c>
      <c r="F113" s="3"/>
      <c r="G113" s="3"/>
      <c r="H113" s="4" t="s">
        <v>523</v>
      </c>
      <c r="I113" s="24" t="s">
        <v>32</v>
      </c>
      <c r="J113" s="24">
        <v>81</v>
      </c>
      <c r="K113" s="24" t="s">
        <v>184</v>
      </c>
      <c r="L113" s="35">
        <v>20201210</v>
      </c>
      <c r="M113" s="3"/>
      <c r="N113" s="3"/>
      <c r="O113" s="3">
        <v>26.63</v>
      </c>
      <c r="P113" s="3">
        <v>1.36</v>
      </c>
      <c r="Q113" s="3">
        <v>0.45</v>
      </c>
      <c r="R113" s="3">
        <v>30</v>
      </c>
      <c r="S113" s="3">
        <v>798.9</v>
      </c>
      <c r="T113" s="39">
        <v>25.246106147766113</v>
      </c>
      <c r="U113" s="39">
        <v>25.914266586303711</v>
      </c>
      <c r="V113" s="39">
        <v>24.526902198791504</v>
      </c>
      <c r="W113" s="39">
        <v>25.906467437744141</v>
      </c>
      <c r="X113" s="39">
        <v>24.794143676757812</v>
      </c>
      <c r="Y113" s="39">
        <v>25.09697437286377</v>
      </c>
      <c r="Z113" s="39">
        <v>24.323193550109863</v>
      </c>
      <c r="AA113" s="39">
        <v>25.494833946228027</v>
      </c>
      <c r="AB113" s="39">
        <v>35.205083847045898</v>
      </c>
      <c r="AC113" s="39">
        <v>28.0272216796875</v>
      </c>
      <c r="AD113" s="39">
        <v>30.869124412536621</v>
      </c>
      <c r="AE113" s="39">
        <v>25.991531372070312</v>
      </c>
      <c r="AF113" s="39">
        <v>29.775705337524414</v>
      </c>
      <c r="AG113" s="39">
        <v>26.024951934814453</v>
      </c>
      <c r="AH113" s="39">
        <v>28.417543411254883</v>
      </c>
      <c r="AI113" s="39">
        <v>25.839962005615234</v>
      </c>
      <c r="AJ113" s="39">
        <v>31.93224048614502</v>
      </c>
      <c r="AK113" s="39">
        <v>26.807578086853027</v>
      </c>
      <c r="AL113" s="24" t="s">
        <v>32</v>
      </c>
      <c r="AM113" s="68">
        <f t="shared" si="21"/>
        <v>99.939615190783144</v>
      </c>
      <c r="AP113" s="4" t="s">
        <v>523</v>
      </c>
      <c r="AQ113" s="24" t="s">
        <v>32</v>
      </c>
      <c r="AR113" s="44">
        <f t="shared" si="22"/>
        <v>-0.66816043853759766</v>
      </c>
      <c r="AS113" s="44">
        <f t="shared" si="23"/>
        <v>-1.3795652389526367</v>
      </c>
      <c r="AT113" s="44">
        <f t="shared" si="24"/>
        <v>-0.30283069610595703</v>
      </c>
      <c r="AU113" s="44">
        <f t="shared" si="25"/>
        <v>-1.1716403961181641</v>
      </c>
      <c r="AV113" s="44">
        <f t="shared" si="26"/>
        <v>7.1778621673583984</v>
      </c>
      <c r="AW113" s="44">
        <f t="shared" si="27"/>
        <v>4.8775930404663086</v>
      </c>
      <c r="AX113" s="44">
        <f t="shared" si="28"/>
        <v>3.7507534027099609</v>
      </c>
      <c r="AY113" s="44">
        <f t="shared" si="29"/>
        <v>2.5775814056396484</v>
      </c>
      <c r="AZ113" s="44">
        <f t="shared" si="30"/>
        <v>5.1246623992919922</v>
      </c>
      <c r="BA113" s="44"/>
      <c r="BB113" s="4" t="s">
        <v>523</v>
      </c>
      <c r="BC113" s="24" t="s">
        <v>32</v>
      </c>
      <c r="BD113" s="44" t="e">
        <f>AR113*#REF!</f>
        <v>#REF!</v>
      </c>
      <c r="BE113" s="44" t="e">
        <f>AS113*#REF!</f>
        <v>#REF!</v>
      </c>
      <c r="BF113" s="44" t="e">
        <f>AT113*#REF!</f>
        <v>#REF!</v>
      </c>
      <c r="BG113" s="44" t="e">
        <f>AU113*#REF!</f>
        <v>#REF!</v>
      </c>
      <c r="BH113" s="44" t="e">
        <f>AV113*#REF!</f>
        <v>#REF!</v>
      </c>
      <c r="BI113" s="44" t="e">
        <f>AW113*#REF!</f>
        <v>#REF!</v>
      </c>
      <c r="BJ113" s="44" t="e">
        <f>AX113*#REF!</f>
        <v>#REF!</v>
      </c>
      <c r="BK113" s="44" t="e">
        <f>AY113*#REF!</f>
        <v>#REF!</v>
      </c>
      <c r="BL113" s="44" t="e">
        <f>AZ113*#REF!</f>
        <v>#REF!</v>
      </c>
      <c r="BM113" s="44" t="e">
        <f t="shared" si="31"/>
        <v>#REF!</v>
      </c>
      <c r="BN113" s="83" t="e">
        <f t="shared" si="32"/>
        <v>#REF!</v>
      </c>
      <c r="BP113" s="87">
        <v>99.939615190783144</v>
      </c>
      <c r="BQ113" s="87">
        <v>0.99737650555174406</v>
      </c>
    </row>
    <row r="114" spans="1:69" s="25" customFormat="1" ht="18">
      <c r="A114" s="3" t="s">
        <v>276</v>
      </c>
      <c r="B114" s="3">
        <v>88</v>
      </c>
      <c r="C114" s="21">
        <v>88</v>
      </c>
      <c r="D114" s="22" t="s">
        <v>207</v>
      </c>
      <c r="E114" s="23" t="s">
        <v>371</v>
      </c>
      <c r="F114" s="3"/>
      <c r="G114" s="3"/>
      <c r="H114" s="4" t="s">
        <v>524</v>
      </c>
      <c r="I114" s="24" t="s">
        <v>32</v>
      </c>
      <c r="J114" s="24">
        <v>83</v>
      </c>
      <c r="K114" s="24" t="s">
        <v>184</v>
      </c>
      <c r="L114" s="35">
        <v>20210125</v>
      </c>
      <c r="M114" s="3"/>
      <c r="N114" s="3"/>
      <c r="O114" s="3">
        <v>26.85</v>
      </c>
      <c r="P114" s="3">
        <v>1.36</v>
      </c>
      <c r="Q114" s="3">
        <v>0.45</v>
      </c>
      <c r="R114" s="3">
        <v>30</v>
      </c>
      <c r="S114" s="3">
        <v>805.5</v>
      </c>
      <c r="T114" s="39">
        <v>24.273865699768066</v>
      </c>
      <c r="U114" s="39">
        <v>25.504842758178711</v>
      </c>
      <c r="V114" s="39">
        <v>23.621434211730957</v>
      </c>
      <c r="W114" s="39">
        <v>25.454054832458496</v>
      </c>
      <c r="X114" s="39">
        <v>24.454571723937988</v>
      </c>
      <c r="Y114" s="39">
        <v>24.813705444335938</v>
      </c>
      <c r="Z114" s="39">
        <v>22.962764739990234</v>
      </c>
      <c r="AA114" s="39">
        <v>24.972955703735352</v>
      </c>
      <c r="AB114" s="39">
        <v>33.78236198425293</v>
      </c>
      <c r="AC114" s="39">
        <v>27.692121505737305</v>
      </c>
      <c r="AD114" s="39">
        <v>29.760674476623535</v>
      </c>
      <c r="AE114" s="39">
        <v>25.761477470397949</v>
      </c>
      <c r="AF114" s="39">
        <v>29.083559989929199</v>
      </c>
      <c r="AG114" s="39">
        <v>25.738081932067871</v>
      </c>
      <c r="AH114" s="39">
        <v>27.69365406036377</v>
      </c>
      <c r="AI114" s="39">
        <v>25.360246658325195</v>
      </c>
      <c r="AJ114" s="39">
        <v>30.510603904724121</v>
      </c>
      <c r="AK114" s="39">
        <v>25.623079299926758</v>
      </c>
      <c r="AL114" s="24" t="s">
        <v>32</v>
      </c>
      <c r="AM114" s="68">
        <f t="shared" si="21"/>
        <v>99.972827122348434</v>
      </c>
      <c r="AP114" s="4" t="s">
        <v>524</v>
      </c>
      <c r="AQ114" s="24" t="s">
        <v>32</v>
      </c>
      <c r="AR114" s="44">
        <f t="shared" si="22"/>
        <v>-1.2309770584106445</v>
      </c>
      <c r="AS114" s="44">
        <f t="shared" si="23"/>
        <v>-1.8326206207275391</v>
      </c>
      <c r="AT114" s="44">
        <f t="shared" si="24"/>
        <v>-0.35913372039794922</v>
      </c>
      <c r="AU114" s="44">
        <f t="shared" si="25"/>
        <v>-2.0101909637451172</v>
      </c>
      <c r="AV114" s="44">
        <f t="shared" si="26"/>
        <v>6.090240478515625</v>
      </c>
      <c r="AW114" s="44">
        <f t="shared" si="27"/>
        <v>3.9991970062255859</v>
      </c>
      <c r="AX114" s="44">
        <f t="shared" si="28"/>
        <v>3.3454780578613281</v>
      </c>
      <c r="AY114" s="44">
        <f t="shared" si="29"/>
        <v>2.3334074020385742</v>
      </c>
      <c r="AZ114" s="44">
        <f t="shared" si="30"/>
        <v>4.8875246047973633</v>
      </c>
      <c r="BA114" s="44"/>
      <c r="BB114" s="4" t="s">
        <v>524</v>
      </c>
      <c r="BC114" s="24" t="s">
        <v>32</v>
      </c>
      <c r="BD114" s="44" t="e">
        <f>AR114*#REF!</f>
        <v>#REF!</v>
      </c>
      <c r="BE114" s="44" t="e">
        <f>AS114*#REF!</f>
        <v>#REF!</v>
      </c>
      <c r="BF114" s="44" t="e">
        <f>AT114*#REF!</f>
        <v>#REF!</v>
      </c>
      <c r="BG114" s="44" t="e">
        <f>AU114*#REF!</f>
        <v>#REF!</v>
      </c>
      <c r="BH114" s="44" t="e">
        <f>AV114*#REF!</f>
        <v>#REF!</v>
      </c>
      <c r="BI114" s="44" t="e">
        <f>AW114*#REF!</f>
        <v>#REF!</v>
      </c>
      <c r="BJ114" s="44" t="e">
        <f>AX114*#REF!</f>
        <v>#REF!</v>
      </c>
      <c r="BK114" s="44" t="e">
        <f>AY114*#REF!</f>
        <v>#REF!</v>
      </c>
      <c r="BL114" s="44" t="e">
        <f>AZ114*#REF!</f>
        <v>#REF!</v>
      </c>
      <c r="BM114" s="44" t="e">
        <f t="shared" si="31"/>
        <v>#REF!</v>
      </c>
      <c r="BN114" s="83" t="e">
        <f t="shared" si="32"/>
        <v>#REF!</v>
      </c>
      <c r="BP114" s="87">
        <v>99.972827122348434</v>
      </c>
      <c r="BQ114" s="87">
        <v>0.99853706079140847</v>
      </c>
    </row>
    <row r="115" spans="1:69" s="25" customFormat="1" ht="18">
      <c r="A115" s="3" t="s">
        <v>276</v>
      </c>
      <c r="B115" s="3">
        <v>89</v>
      </c>
      <c r="C115" s="21">
        <v>89</v>
      </c>
      <c r="D115" s="22" t="s">
        <v>208</v>
      </c>
      <c r="E115" s="23" t="s">
        <v>372</v>
      </c>
      <c r="F115" s="3"/>
      <c r="G115" s="3"/>
      <c r="H115" s="4" t="s">
        <v>443</v>
      </c>
      <c r="I115" s="24" t="s">
        <v>32</v>
      </c>
      <c r="J115" s="24">
        <v>84</v>
      </c>
      <c r="K115" s="24" t="s">
        <v>184</v>
      </c>
      <c r="L115" s="35">
        <v>20201020</v>
      </c>
      <c r="M115" s="3"/>
      <c r="N115" s="3"/>
      <c r="O115" s="3">
        <v>15.21</v>
      </c>
      <c r="P115" s="3">
        <v>1.28</v>
      </c>
      <c r="Q115" s="3">
        <v>0.41</v>
      </c>
      <c r="R115" s="3">
        <v>30</v>
      </c>
      <c r="S115" s="3">
        <v>456.2</v>
      </c>
      <c r="T115" s="39">
        <v>27.702775955200195</v>
      </c>
      <c r="U115" s="39">
        <v>28.063179969787598</v>
      </c>
      <c r="V115" s="39">
        <v>26.643299102783203</v>
      </c>
      <c r="W115" s="39">
        <v>28.141617774963379</v>
      </c>
      <c r="X115" s="39">
        <v>25.880809783935547</v>
      </c>
      <c r="Y115" s="39">
        <v>27.329666137695312</v>
      </c>
      <c r="Z115" s="39">
        <v>25.17195987701416</v>
      </c>
      <c r="AA115" s="39">
        <v>27.425637245178223</v>
      </c>
      <c r="AB115" s="39">
        <v>37.892463684082031</v>
      </c>
      <c r="AC115" s="39">
        <v>28.949777603149414</v>
      </c>
      <c r="AD115" s="39">
        <v>33.521894454956055</v>
      </c>
      <c r="AE115" s="39">
        <v>28.317937850952148</v>
      </c>
      <c r="AF115" s="39">
        <v>31.546034812927246</v>
      </c>
      <c r="AG115" s="39">
        <v>28.257201194763184</v>
      </c>
      <c r="AH115" s="39">
        <v>31.332817077636719</v>
      </c>
      <c r="AI115" s="39">
        <v>28.082514762878418</v>
      </c>
      <c r="AJ115" s="39">
        <v>33.342483520507812</v>
      </c>
      <c r="AK115" s="39">
        <v>28.216963768005371</v>
      </c>
      <c r="AL115" s="24" t="s">
        <v>32</v>
      </c>
      <c r="AM115" s="68">
        <f t="shared" si="21"/>
        <v>99.958459331369269</v>
      </c>
      <c r="AP115" s="4" t="s">
        <v>443</v>
      </c>
      <c r="AQ115" s="24" t="s">
        <v>32</v>
      </c>
      <c r="AR115" s="44">
        <f t="shared" si="22"/>
        <v>-0.36040401458740234</v>
      </c>
      <c r="AS115" s="44">
        <f t="shared" si="23"/>
        <v>-1.4983186721801758</v>
      </c>
      <c r="AT115" s="44">
        <f t="shared" si="24"/>
        <v>-1.4488563537597656</v>
      </c>
      <c r="AU115" s="44">
        <f t="shared" si="25"/>
        <v>-2.2536773681640625</v>
      </c>
      <c r="AV115" s="44">
        <f t="shared" si="26"/>
        <v>8.9426860809326172</v>
      </c>
      <c r="AW115" s="44">
        <f t="shared" si="27"/>
        <v>5.2039566040039062</v>
      </c>
      <c r="AX115" s="44">
        <f t="shared" si="28"/>
        <v>3.2888336181640625</v>
      </c>
      <c r="AY115" s="44">
        <f t="shared" si="29"/>
        <v>3.2503023147583008</v>
      </c>
      <c r="AZ115" s="44">
        <f t="shared" si="30"/>
        <v>5.1255197525024414</v>
      </c>
      <c r="BA115" s="44"/>
      <c r="BB115" s="4" t="s">
        <v>443</v>
      </c>
      <c r="BC115" s="24" t="s">
        <v>32</v>
      </c>
      <c r="BD115" s="44" t="e">
        <f>AR115*#REF!</f>
        <v>#REF!</v>
      </c>
      <c r="BE115" s="44" t="e">
        <f>AS115*#REF!</f>
        <v>#REF!</v>
      </c>
      <c r="BF115" s="44" t="e">
        <f>AT115*#REF!</f>
        <v>#REF!</v>
      </c>
      <c r="BG115" s="44" t="e">
        <f>AU115*#REF!</f>
        <v>#REF!</v>
      </c>
      <c r="BH115" s="44" t="e">
        <f>AV115*#REF!</f>
        <v>#REF!</v>
      </c>
      <c r="BI115" s="44" t="e">
        <f>AW115*#REF!</f>
        <v>#REF!</v>
      </c>
      <c r="BJ115" s="44" t="e">
        <f>AX115*#REF!</f>
        <v>#REF!</v>
      </c>
      <c r="BK115" s="44" t="e">
        <f>AY115*#REF!</f>
        <v>#REF!</v>
      </c>
      <c r="BL115" s="44" t="e">
        <f>AZ115*#REF!</f>
        <v>#REF!</v>
      </c>
      <c r="BM115" s="44" t="e">
        <f t="shared" si="31"/>
        <v>#REF!</v>
      </c>
      <c r="BN115" s="83" t="e">
        <f t="shared" si="32"/>
        <v>#REF!</v>
      </c>
      <c r="BP115" s="87">
        <v>99.958459331369269</v>
      </c>
      <c r="BQ115" s="87">
        <v>0.99507672456690777</v>
      </c>
    </row>
    <row r="116" spans="1:69" s="25" customFormat="1" ht="18">
      <c r="A116" s="3" t="s">
        <v>276</v>
      </c>
      <c r="B116" s="3">
        <v>90</v>
      </c>
      <c r="C116" s="21">
        <v>90</v>
      </c>
      <c r="D116" s="22" t="s">
        <v>209</v>
      </c>
      <c r="E116" s="23" t="s">
        <v>373</v>
      </c>
      <c r="F116" s="3"/>
      <c r="G116" s="3"/>
      <c r="H116" s="4" t="s">
        <v>525</v>
      </c>
      <c r="I116" s="24" t="s">
        <v>32</v>
      </c>
      <c r="J116" s="24">
        <v>71</v>
      </c>
      <c r="K116" s="24" t="s">
        <v>184</v>
      </c>
      <c r="L116" s="35">
        <v>20200909</v>
      </c>
      <c r="M116" s="3"/>
      <c r="N116" s="3"/>
      <c r="O116" s="3">
        <v>14.56</v>
      </c>
      <c r="P116" s="3">
        <v>1.29</v>
      </c>
      <c r="Q116" s="3">
        <v>0.39</v>
      </c>
      <c r="R116" s="3">
        <v>30</v>
      </c>
      <c r="S116" s="3">
        <v>436.9</v>
      </c>
      <c r="T116" s="39">
        <v>29.802323341369629</v>
      </c>
      <c r="U116" s="39">
        <v>26.143071174621582</v>
      </c>
      <c r="V116" s="39">
        <v>27.600981712341309</v>
      </c>
      <c r="W116" s="39">
        <v>26.233055114746094</v>
      </c>
      <c r="X116" s="39">
        <v>26.069233894348145</v>
      </c>
      <c r="Y116" s="39">
        <v>25.442493438720703</v>
      </c>
      <c r="Z116" s="39">
        <v>26.830072402954102</v>
      </c>
      <c r="AA116" s="39">
        <v>26.040059089660645</v>
      </c>
      <c r="AB116" s="39">
        <v>38.535846710205078</v>
      </c>
      <c r="AC116" s="39">
        <v>28.269214630126953</v>
      </c>
      <c r="AD116" s="39">
        <v>34.935783386230469</v>
      </c>
      <c r="AE116" s="39">
        <v>26.246230125427246</v>
      </c>
      <c r="AF116" s="39">
        <v>32.75294303894043</v>
      </c>
      <c r="AG116" s="39">
        <v>26.250760078430176</v>
      </c>
      <c r="AH116" s="39">
        <v>33.4366455078125</v>
      </c>
      <c r="AI116" s="39">
        <v>26.447433471679688</v>
      </c>
      <c r="AJ116" s="39">
        <v>35.749540328979492</v>
      </c>
      <c r="AK116" s="39">
        <v>26.319894790649414</v>
      </c>
      <c r="AL116" s="24" t="s">
        <v>32</v>
      </c>
      <c r="AM116" s="68">
        <f t="shared" si="21"/>
        <v>98.103879304620051</v>
      </c>
      <c r="AP116" s="4" t="s">
        <v>525</v>
      </c>
      <c r="AQ116" s="24" t="s">
        <v>32</v>
      </c>
      <c r="AR116" s="44">
        <f t="shared" si="22"/>
        <v>3.6592521667480469</v>
      </c>
      <c r="AS116" s="44">
        <f t="shared" si="23"/>
        <v>1.3679265975952148</v>
      </c>
      <c r="AT116" s="44">
        <f t="shared" si="24"/>
        <v>0.62674045562744141</v>
      </c>
      <c r="AU116" s="44">
        <f t="shared" si="25"/>
        <v>0.79001331329345703</v>
      </c>
      <c r="AV116" s="44">
        <f t="shared" si="26"/>
        <v>10.266632080078125</v>
      </c>
      <c r="AW116" s="44">
        <f t="shared" si="27"/>
        <v>8.6895532608032227</v>
      </c>
      <c r="AX116" s="44">
        <f t="shared" si="28"/>
        <v>6.5021829605102539</v>
      </c>
      <c r="AY116" s="44">
        <f t="shared" si="29"/>
        <v>6.9892120361328125</v>
      </c>
      <c r="AZ116" s="44">
        <f t="shared" si="30"/>
        <v>9.4296455383300781</v>
      </c>
      <c r="BA116" s="44"/>
      <c r="BB116" s="4" t="s">
        <v>525</v>
      </c>
      <c r="BC116" s="24" t="s">
        <v>32</v>
      </c>
      <c r="BD116" s="44" t="e">
        <f>AR116*#REF!</f>
        <v>#REF!</v>
      </c>
      <c r="BE116" s="44" t="e">
        <f>AS116*#REF!</f>
        <v>#REF!</v>
      </c>
      <c r="BF116" s="44" t="e">
        <f>AT116*#REF!</f>
        <v>#REF!</v>
      </c>
      <c r="BG116" s="44" t="e">
        <f>AU116*#REF!</f>
        <v>#REF!</v>
      </c>
      <c r="BH116" s="44" t="e">
        <f>AV116*#REF!</f>
        <v>#REF!</v>
      </c>
      <c r="BI116" s="44" t="e">
        <f>AW116*#REF!</f>
        <v>#REF!</v>
      </c>
      <c r="BJ116" s="44" t="e">
        <f>AX116*#REF!</f>
        <v>#REF!</v>
      </c>
      <c r="BK116" s="44" t="e">
        <f>AY116*#REF!</f>
        <v>#REF!</v>
      </c>
      <c r="BL116" s="44" t="e">
        <f>AZ116*#REF!</f>
        <v>#REF!</v>
      </c>
      <c r="BM116" s="44" t="e">
        <f t="shared" si="31"/>
        <v>#REF!</v>
      </c>
      <c r="BN116" s="83" t="e">
        <f t="shared" si="32"/>
        <v>#REF!</v>
      </c>
      <c r="BP116" s="87">
        <v>98.103879304620051</v>
      </c>
      <c r="BQ116" s="87">
        <v>0.89821067250379671</v>
      </c>
    </row>
    <row r="117" spans="1:69" s="25" customFormat="1" ht="18">
      <c r="A117" s="3" t="s">
        <v>276</v>
      </c>
      <c r="B117" s="3">
        <v>91</v>
      </c>
      <c r="C117" s="21">
        <v>91</v>
      </c>
      <c r="D117" s="26" t="s">
        <v>210</v>
      </c>
      <c r="E117" s="23" t="s">
        <v>374</v>
      </c>
      <c r="F117" s="3"/>
      <c r="G117" s="3"/>
      <c r="H117" s="4" t="s">
        <v>526</v>
      </c>
      <c r="I117" s="24" t="s">
        <v>32</v>
      </c>
      <c r="J117" s="24">
        <v>78</v>
      </c>
      <c r="K117" s="24" t="s">
        <v>184</v>
      </c>
      <c r="L117" s="35">
        <v>20190930</v>
      </c>
      <c r="M117" s="3"/>
      <c r="N117" s="3"/>
      <c r="O117" s="3">
        <v>17.03</v>
      </c>
      <c r="P117" s="3">
        <v>1.29</v>
      </c>
      <c r="Q117" s="3">
        <v>0.4</v>
      </c>
      <c r="R117" s="3">
        <v>30</v>
      </c>
      <c r="S117" s="3">
        <v>511</v>
      </c>
      <c r="T117" s="39">
        <v>26.991121292114258</v>
      </c>
      <c r="U117" s="39">
        <v>27.584029197692871</v>
      </c>
      <c r="V117" s="39">
        <v>26.009156227111816</v>
      </c>
      <c r="W117" s="39">
        <v>27.454231262207031</v>
      </c>
      <c r="X117" s="39">
        <v>26.83840274810791</v>
      </c>
      <c r="Y117" s="39">
        <v>26.68858814239502</v>
      </c>
      <c r="Z117" s="39">
        <v>26.525955200195312</v>
      </c>
      <c r="AA117" s="39">
        <v>27.366744995117188</v>
      </c>
      <c r="AB117" s="39">
        <v>37.031282424926758</v>
      </c>
      <c r="AC117" s="39">
        <v>29.653755187988281</v>
      </c>
      <c r="AD117" s="39">
        <v>33.07151985168457</v>
      </c>
      <c r="AE117" s="39">
        <v>27.614550590515137</v>
      </c>
      <c r="AF117" s="39">
        <v>31.760453224182129</v>
      </c>
      <c r="AG117" s="39">
        <v>27.619874000549316</v>
      </c>
      <c r="AH117" s="39">
        <v>30.743857383728027</v>
      </c>
      <c r="AI117" s="39">
        <v>27.546966552734375</v>
      </c>
      <c r="AJ117" s="39">
        <v>33.560234069824219</v>
      </c>
      <c r="AK117" s="39">
        <v>27.669548988342285</v>
      </c>
      <c r="AL117" s="24" t="s">
        <v>32</v>
      </c>
      <c r="AM117" s="68">
        <f t="shared" si="21"/>
        <v>99.877933587406559</v>
      </c>
      <c r="AP117" s="4" t="s">
        <v>526</v>
      </c>
      <c r="AQ117" s="24" t="s">
        <v>32</v>
      </c>
      <c r="AR117" s="44">
        <f t="shared" si="22"/>
        <v>-0.59290790557861328</v>
      </c>
      <c r="AS117" s="44">
        <f t="shared" si="23"/>
        <v>-1.4450750350952148</v>
      </c>
      <c r="AT117" s="44">
        <f t="shared" si="24"/>
        <v>0.14981460571289062</v>
      </c>
      <c r="AU117" s="44">
        <f t="shared" si="25"/>
        <v>-0.840789794921875</v>
      </c>
      <c r="AV117" s="44">
        <f t="shared" si="26"/>
        <v>7.3775272369384766</v>
      </c>
      <c r="AW117" s="44">
        <f t="shared" si="27"/>
        <v>5.4569692611694336</v>
      </c>
      <c r="AX117" s="44">
        <f t="shared" si="28"/>
        <v>4.1405792236328125</v>
      </c>
      <c r="AY117" s="44">
        <f t="shared" si="29"/>
        <v>3.1968908309936523</v>
      </c>
      <c r="AZ117" s="44">
        <f t="shared" si="30"/>
        <v>5.8906850814819336</v>
      </c>
      <c r="BA117" s="44"/>
      <c r="BB117" s="4" t="s">
        <v>526</v>
      </c>
      <c r="BC117" s="24" t="s">
        <v>32</v>
      </c>
      <c r="BD117" s="44" t="e">
        <f>AR117*#REF!</f>
        <v>#REF!</v>
      </c>
      <c r="BE117" s="44" t="e">
        <f>AS117*#REF!</f>
        <v>#REF!</v>
      </c>
      <c r="BF117" s="44" t="e">
        <f>AT117*#REF!</f>
        <v>#REF!</v>
      </c>
      <c r="BG117" s="44" t="e">
        <f>AU117*#REF!</f>
        <v>#REF!</v>
      </c>
      <c r="BH117" s="44" t="e">
        <f>AV117*#REF!</f>
        <v>#REF!</v>
      </c>
      <c r="BI117" s="44" t="e">
        <f>AW117*#REF!</f>
        <v>#REF!</v>
      </c>
      <c r="BJ117" s="44" t="e">
        <f>AX117*#REF!</f>
        <v>#REF!</v>
      </c>
      <c r="BK117" s="44" t="e">
        <f>AY117*#REF!</f>
        <v>#REF!</v>
      </c>
      <c r="BL117" s="44" t="e">
        <f>AZ117*#REF!</f>
        <v>#REF!</v>
      </c>
      <c r="BM117" s="44" t="e">
        <f t="shared" si="31"/>
        <v>#REF!</v>
      </c>
      <c r="BN117" s="83" t="e">
        <f t="shared" si="32"/>
        <v>#REF!</v>
      </c>
      <c r="BP117" s="87">
        <v>99.877933587406559</v>
      </c>
      <c r="BQ117" s="87">
        <v>0.9956788479586286</v>
      </c>
    </row>
    <row r="118" spans="1:69" s="25" customFormat="1" ht="18">
      <c r="A118" s="3" t="s">
        <v>276</v>
      </c>
      <c r="B118" s="3">
        <v>92</v>
      </c>
      <c r="C118" s="21">
        <v>92</v>
      </c>
      <c r="D118" s="26" t="s">
        <v>211</v>
      </c>
      <c r="E118" s="23" t="s">
        <v>375</v>
      </c>
      <c r="F118" s="3"/>
      <c r="G118" s="3"/>
      <c r="H118" s="4" t="s">
        <v>527</v>
      </c>
      <c r="I118" s="24" t="s">
        <v>32</v>
      </c>
      <c r="J118" s="24">
        <v>80</v>
      </c>
      <c r="K118" s="24" t="s">
        <v>184</v>
      </c>
      <c r="L118" s="35">
        <v>20201110</v>
      </c>
      <c r="M118" s="3"/>
      <c r="N118" s="3"/>
      <c r="O118" s="3">
        <v>15.21</v>
      </c>
      <c r="P118" s="3">
        <v>1.24</v>
      </c>
      <c r="Q118" s="3">
        <v>0.39</v>
      </c>
      <c r="R118" s="3">
        <v>30</v>
      </c>
      <c r="S118" s="3">
        <v>456.4</v>
      </c>
      <c r="T118" s="39">
        <v>28.097151756286621</v>
      </c>
      <c r="U118" s="39">
        <v>26.570552825927734</v>
      </c>
      <c r="V118" s="39">
        <v>26.762434005737305</v>
      </c>
      <c r="W118" s="39">
        <v>26.632806777954102</v>
      </c>
      <c r="X118" s="39">
        <v>26.052225112915039</v>
      </c>
      <c r="Y118" s="39">
        <v>25.770954132080078</v>
      </c>
      <c r="Z118" s="39">
        <v>26.961166381835938</v>
      </c>
      <c r="AA118" s="39">
        <v>26.526838302612305</v>
      </c>
      <c r="AB118" s="39">
        <v>37.69793701171875</v>
      </c>
      <c r="AC118" s="39">
        <v>28.736224174499512</v>
      </c>
      <c r="AD118" s="39">
        <v>34.849727630615234</v>
      </c>
      <c r="AE118" s="39">
        <v>26.722320556640625</v>
      </c>
      <c r="AF118" s="39">
        <v>32.140335083007812</v>
      </c>
      <c r="AG118" s="39">
        <v>26.603394508361816</v>
      </c>
      <c r="AH118" s="39">
        <v>32.176717758178711</v>
      </c>
      <c r="AI118" s="39">
        <v>26.801612854003906</v>
      </c>
      <c r="AJ118" s="39">
        <v>34.539402008056641</v>
      </c>
      <c r="AK118" s="39">
        <v>27.202343940734863</v>
      </c>
      <c r="AL118" s="24" t="s">
        <v>32</v>
      </c>
      <c r="AM118" s="68">
        <f t="shared" si="21"/>
        <v>99.236644085099599</v>
      </c>
      <c r="AP118" s="4" t="s">
        <v>527</v>
      </c>
      <c r="AQ118" s="24" t="s">
        <v>32</v>
      </c>
      <c r="AR118" s="44">
        <f t="shared" si="22"/>
        <v>1.5265989303588867</v>
      </c>
      <c r="AS118" s="44">
        <f t="shared" si="23"/>
        <v>0.12962722778320312</v>
      </c>
      <c r="AT118" s="44">
        <f t="shared" si="24"/>
        <v>0.28127098083496094</v>
      </c>
      <c r="AU118" s="44">
        <f t="shared" si="25"/>
        <v>0.43432807922363281</v>
      </c>
      <c r="AV118" s="44">
        <f t="shared" si="26"/>
        <v>8.9617128372192383</v>
      </c>
      <c r="AW118" s="44">
        <f t="shared" si="27"/>
        <v>8.1274070739746094</v>
      </c>
      <c r="AX118" s="44">
        <f t="shared" si="28"/>
        <v>5.5369405746459961</v>
      </c>
      <c r="AY118" s="44">
        <f t="shared" si="29"/>
        <v>5.3751049041748047</v>
      </c>
      <c r="AZ118" s="44">
        <f t="shared" si="30"/>
        <v>7.3370580673217773</v>
      </c>
      <c r="BA118" s="44"/>
      <c r="BB118" s="4" t="s">
        <v>527</v>
      </c>
      <c r="BC118" s="24" t="s">
        <v>32</v>
      </c>
      <c r="BD118" s="44" t="e">
        <f>AR118*#REF!</f>
        <v>#REF!</v>
      </c>
      <c r="BE118" s="44" t="e">
        <f>AS118*#REF!</f>
        <v>#REF!</v>
      </c>
      <c r="BF118" s="44" t="e">
        <f>AT118*#REF!</f>
        <v>#REF!</v>
      </c>
      <c r="BG118" s="44" t="e">
        <f>AU118*#REF!</f>
        <v>#REF!</v>
      </c>
      <c r="BH118" s="44" t="e">
        <f>AV118*#REF!</f>
        <v>#REF!</v>
      </c>
      <c r="BI118" s="44" t="e">
        <f>AW118*#REF!</f>
        <v>#REF!</v>
      </c>
      <c r="BJ118" s="44" t="e">
        <f>AX118*#REF!</f>
        <v>#REF!</v>
      </c>
      <c r="BK118" s="44" t="e">
        <f>AY118*#REF!</f>
        <v>#REF!</v>
      </c>
      <c r="BL118" s="44" t="e">
        <f>AZ118*#REF!</f>
        <v>#REF!</v>
      </c>
      <c r="BM118" s="44" t="e">
        <f t="shared" si="31"/>
        <v>#REF!</v>
      </c>
      <c r="BN118" s="83" t="e">
        <f t="shared" si="32"/>
        <v>#REF!</v>
      </c>
      <c r="BP118" s="87">
        <v>99.236644085099599</v>
      </c>
      <c r="BQ118" s="87">
        <v>0.9719141646407029</v>
      </c>
    </row>
    <row r="119" spans="1:69" s="25" customFormat="1" ht="18">
      <c r="A119" s="3" t="s">
        <v>276</v>
      </c>
      <c r="B119" s="3">
        <v>93</v>
      </c>
      <c r="C119" s="21">
        <v>93</v>
      </c>
      <c r="D119" s="26" t="s">
        <v>212</v>
      </c>
      <c r="E119" s="23" t="s">
        <v>376</v>
      </c>
      <c r="F119" s="3"/>
      <c r="G119" s="3"/>
      <c r="H119" s="4" t="s">
        <v>528</v>
      </c>
      <c r="I119" s="24" t="s">
        <v>32</v>
      </c>
      <c r="J119" s="24">
        <v>80</v>
      </c>
      <c r="K119" s="24" t="s">
        <v>184</v>
      </c>
      <c r="L119" s="35">
        <v>20191007</v>
      </c>
      <c r="M119" s="3"/>
      <c r="N119" s="3"/>
      <c r="O119" s="3">
        <v>32.56</v>
      </c>
      <c r="P119" s="3">
        <v>1.36</v>
      </c>
      <c r="Q119" s="3">
        <v>0.47</v>
      </c>
      <c r="R119" s="3">
        <v>30</v>
      </c>
      <c r="S119" s="3">
        <v>976.7</v>
      </c>
      <c r="T119" s="39">
        <v>27.787815093994141</v>
      </c>
      <c r="U119" s="39">
        <v>25.164516448974609</v>
      </c>
      <c r="V119" s="39">
        <v>26.179741859436035</v>
      </c>
      <c r="W119" s="39">
        <v>25.184686660766602</v>
      </c>
      <c r="X119" s="39">
        <v>27.216341972351074</v>
      </c>
      <c r="Y119" s="39">
        <v>24.839568138122559</v>
      </c>
      <c r="Z119" s="39">
        <v>28.923274040222168</v>
      </c>
      <c r="AA119" s="39">
        <v>25.378853797912598</v>
      </c>
      <c r="AB119" s="39">
        <v>40</v>
      </c>
      <c r="AC119" s="39">
        <v>27.075479507446289</v>
      </c>
      <c r="AD119" s="39">
        <v>34.979780197143555</v>
      </c>
      <c r="AE119" s="39">
        <v>25.279824256896973</v>
      </c>
      <c r="AF119" s="39">
        <v>34.19056510925293</v>
      </c>
      <c r="AG119" s="39">
        <v>25.169208526611328</v>
      </c>
      <c r="AH119" s="39">
        <v>32.090047836303711</v>
      </c>
      <c r="AI119" s="39">
        <v>25.311380386352539</v>
      </c>
      <c r="AJ119" s="39">
        <v>36.762296676635742</v>
      </c>
      <c r="AK119" s="39">
        <v>25.150382995605469</v>
      </c>
      <c r="AL119" s="24" t="s">
        <v>32</v>
      </c>
      <c r="AM119" s="68">
        <f t="shared" si="21"/>
        <v>11.053137858542197</v>
      </c>
      <c r="AP119" s="4" t="s">
        <v>528</v>
      </c>
      <c r="AQ119" s="24" t="s">
        <v>32</v>
      </c>
      <c r="AR119" s="44">
        <f t="shared" si="22"/>
        <v>2.6232986450195312</v>
      </c>
      <c r="AS119" s="44">
        <f t="shared" si="23"/>
        <v>0.99505519866943359</v>
      </c>
      <c r="AT119" s="44">
        <f t="shared" si="24"/>
        <v>2.3767738342285156</v>
      </c>
      <c r="AU119" s="44">
        <f t="shared" si="25"/>
        <v>3.5444202423095703</v>
      </c>
      <c r="AV119" s="44">
        <f t="shared" si="26"/>
        <v>12.924520492553711</v>
      </c>
      <c r="AW119" s="44">
        <f t="shared" si="27"/>
        <v>9.699955940246582</v>
      </c>
      <c r="AX119" s="44">
        <f t="shared" si="28"/>
        <v>9.0213565826416016</v>
      </c>
      <c r="AY119" s="44">
        <f t="shared" si="29"/>
        <v>6.7786674499511719</v>
      </c>
      <c r="AZ119" s="44">
        <f t="shared" si="30"/>
        <v>11.611913681030273</v>
      </c>
      <c r="BA119" s="44"/>
      <c r="BB119" s="4" t="s">
        <v>528</v>
      </c>
      <c r="BC119" s="24" t="s">
        <v>32</v>
      </c>
      <c r="BD119" s="44" t="e">
        <f>AR119*#REF!</f>
        <v>#REF!</v>
      </c>
      <c r="BE119" s="44" t="e">
        <f>AS119*#REF!</f>
        <v>#REF!</v>
      </c>
      <c r="BF119" s="44" t="e">
        <f>AT119*#REF!</f>
        <v>#REF!</v>
      </c>
      <c r="BG119" s="44" t="e">
        <f>AU119*#REF!</f>
        <v>#REF!</v>
      </c>
      <c r="BH119" s="44" t="e">
        <f>AV119*#REF!</f>
        <v>#REF!</v>
      </c>
      <c r="BI119" s="44" t="e">
        <f>AW119*#REF!</f>
        <v>#REF!</v>
      </c>
      <c r="BJ119" s="44" t="e">
        <f>AX119*#REF!</f>
        <v>#REF!</v>
      </c>
      <c r="BK119" s="44" t="e">
        <f>AY119*#REF!</f>
        <v>#REF!</v>
      </c>
      <c r="BL119" s="44" t="e">
        <f>AZ119*#REF!</f>
        <v>#REF!</v>
      </c>
      <c r="BM119" s="44" t="e">
        <f t="shared" si="31"/>
        <v>#REF!</v>
      </c>
      <c r="BN119" s="83" t="e">
        <f t="shared" si="32"/>
        <v>#REF!</v>
      </c>
      <c r="BP119" s="87">
        <v>11.053137858542197</v>
      </c>
      <c r="BQ119" s="87">
        <v>0.4089520291749556</v>
      </c>
    </row>
    <row r="120" spans="1:69" s="25" customFormat="1" ht="18">
      <c r="A120" s="3" t="s">
        <v>276</v>
      </c>
      <c r="B120" s="3">
        <v>94</v>
      </c>
      <c r="C120" s="21">
        <v>94</v>
      </c>
      <c r="D120" s="26" t="s">
        <v>213</v>
      </c>
      <c r="E120" s="23" t="s">
        <v>377</v>
      </c>
      <c r="F120" s="3"/>
      <c r="G120" s="3"/>
      <c r="H120" s="4" t="s">
        <v>529</v>
      </c>
      <c r="I120" s="24" t="s">
        <v>32</v>
      </c>
      <c r="J120" s="24">
        <v>81</v>
      </c>
      <c r="K120" s="24" t="s">
        <v>184</v>
      </c>
      <c r="L120" s="35">
        <v>20210201</v>
      </c>
      <c r="M120" s="3"/>
      <c r="N120" s="3"/>
      <c r="O120" s="3">
        <v>15.86</v>
      </c>
      <c r="P120" s="3">
        <v>1.29</v>
      </c>
      <c r="Q120" s="3">
        <v>0.41</v>
      </c>
      <c r="R120" s="3">
        <v>30</v>
      </c>
      <c r="S120" s="3">
        <v>475.8</v>
      </c>
      <c r="T120" s="39">
        <v>26.025975227355957</v>
      </c>
      <c r="U120" s="39">
        <v>26.785678863525391</v>
      </c>
      <c r="V120" s="39">
        <v>25.329645156860352</v>
      </c>
      <c r="W120" s="39">
        <v>26.819070816040039</v>
      </c>
      <c r="X120" s="39">
        <v>25.123500823974609</v>
      </c>
      <c r="Y120" s="39">
        <v>25.906577110290527</v>
      </c>
      <c r="Z120" s="39">
        <v>25.929862976074219</v>
      </c>
      <c r="AA120" s="39">
        <v>26.719563484191895</v>
      </c>
      <c r="AB120" s="39">
        <v>38.264720916748047</v>
      </c>
      <c r="AC120" s="39">
        <v>27.963784217834473</v>
      </c>
      <c r="AD120" s="39">
        <v>34.136604309082031</v>
      </c>
      <c r="AE120" s="39">
        <v>26.918182373046875</v>
      </c>
      <c r="AF120" s="39">
        <v>32.35267448425293</v>
      </c>
      <c r="AG120" s="39">
        <v>25.994077682495117</v>
      </c>
      <c r="AH120" s="39">
        <v>29.72697925567627</v>
      </c>
      <c r="AI120" s="39">
        <v>26.747054100036621</v>
      </c>
      <c r="AJ120" s="39">
        <v>33.302028656005859</v>
      </c>
      <c r="AK120" s="39">
        <v>26.948495864868164</v>
      </c>
      <c r="AL120" s="24" t="s">
        <v>32</v>
      </c>
      <c r="AM120" s="68">
        <f t="shared" si="21"/>
        <v>82.46348278749484</v>
      </c>
      <c r="AP120" s="4" t="s">
        <v>529</v>
      </c>
      <c r="AQ120" s="24" t="s">
        <v>32</v>
      </c>
      <c r="AR120" s="44">
        <f t="shared" si="22"/>
        <v>-0.75970363616943359</v>
      </c>
      <c r="AS120" s="44">
        <f t="shared" si="23"/>
        <v>-1.4894256591796875</v>
      </c>
      <c r="AT120" s="44">
        <f t="shared" si="24"/>
        <v>-0.78307628631591797</v>
      </c>
      <c r="AU120" s="44">
        <f t="shared" si="25"/>
        <v>-0.78970050811767578</v>
      </c>
      <c r="AV120" s="44">
        <f t="shared" si="26"/>
        <v>10.300936698913574</v>
      </c>
      <c r="AW120" s="44">
        <f t="shared" si="27"/>
        <v>7.2184219360351562</v>
      </c>
      <c r="AX120" s="44">
        <f t="shared" si="28"/>
        <v>6.3585968017578125</v>
      </c>
      <c r="AY120" s="44">
        <f t="shared" si="29"/>
        <v>2.9799251556396484</v>
      </c>
      <c r="AZ120" s="44">
        <f t="shared" si="30"/>
        <v>6.3535327911376953</v>
      </c>
      <c r="BA120" s="44"/>
      <c r="BB120" s="4" t="s">
        <v>529</v>
      </c>
      <c r="BC120" s="24" t="s">
        <v>32</v>
      </c>
      <c r="BD120" s="44" t="e">
        <f>AR120*#REF!</f>
        <v>#REF!</v>
      </c>
      <c r="BE120" s="44" t="e">
        <f>AS120*#REF!</f>
        <v>#REF!</v>
      </c>
      <c r="BF120" s="44" t="e">
        <f>AT120*#REF!</f>
        <v>#REF!</v>
      </c>
      <c r="BG120" s="44" t="e">
        <f>AU120*#REF!</f>
        <v>#REF!</v>
      </c>
      <c r="BH120" s="44" t="e">
        <f>AV120*#REF!</f>
        <v>#REF!</v>
      </c>
      <c r="BI120" s="44" t="e">
        <f>AW120*#REF!</f>
        <v>#REF!</v>
      </c>
      <c r="BJ120" s="44" t="e">
        <f>AX120*#REF!</f>
        <v>#REF!</v>
      </c>
      <c r="BK120" s="44" t="e">
        <f>AY120*#REF!</f>
        <v>#REF!</v>
      </c>
      <c r="BL120" s="44" t="e">
        <f>AZ120*#REF!</f>
        <v>#REF!</v>
      </c>
      <c r="BM120" s="44" t="e">
        <f t="shared" si="31"/>
        <v>#REF!</v>
      </c>
      <c r="BN120" s="83" t="e">
        <f t="shared" si="32"/>
        <v>#REF!</v>
      </c>
      <c r="BP120" s="87">
        <v>82.46348278749484</v>
      </c>
      <c r="BQ120" s="87">
        <v>0.91976581570887317</v>
      </c>
    </row>
    <row r="121" spans="1:69" s="25" customFormat="1" ht="18">
      <c r="A121" s="3" t="s">
        <v>276</v>
      </c>
      <c r="B121" s="3">
        <v>95</v>
      </c>
      <c r="C121" s="21">
        <v>95</v>
      </c>
      <c r="D121" s="26" t="s">
        <v>214</v>
      </c>
      <c r="E121" s="23" t="s">
        <v>378</v>
      </c>
      <c r="F121" s="3"/>
      <c r="G121" s="3"/>
      <c r="H121" s="4" t="s">
        <v>530</v>
      </c>
      <c r="I121" s="24" t="s">
        <v>32</v>
      </c>
      <c r="J121" s="24">
        <v>82</v>
      </c>
      <c r="K121" s="24" t="s">
        <v>184</v>
      </c>
      <c r="L121" s="35">
        <v>20190422</v>
      </c>
      <c r="M121" s="3"/>
      <c r="N121" s="3"/>
      <c r="O121" s="3">
        <v>12.1</v>
      </c>
      <c r="P121" s="3">
        <v>1.24</v>
      </c>
      <c r="Q121" s="3">
        <v>0.38</v>
      </c>
      <c r="R121" s="3">
        <v>30</v>
      </c>
      <c r="S121" s="3">
        <v>362.9</v>
      </c>
      <c r="T121" s="39">
        <v>27.672842025756836</v>
      </c>
      <c r="U121" s="39">
        <v>28.00837230682373</v>
      </c>
      <c r="V121" s="39">
        <v>26.610222816467285</v>
      </c>
      <c r="W121" s="39">
        <v>27.96180248260498</v>
      </c>
      <c r="X121" s="39">
        <v>25.631095886230469</v>
      </c>
      <c r="Y121" s="39">
        <v>27.165787696838379</v>
      </c>
      <c r="Z121" s="39">
        <v>25.176548004150391</v>
      </c>
      <c r="AA121" s="39">
        <v>27.594574928283691</v>
      </c>
      <c r="AB121" s="39">
        <v>37.246524810791016</v>
      </c>
      <c r="AC121" s="39">
        <v>30.140029907226562</v>
      </c>
      <c r="AD121" s="39">
        <v>33.949188232421875</v>
      </c>
      <c r="AE121" s="39">
        <v>28.025376319885254</v>
      </c>
      <c r="AF121" s="39">
        <v>31.122744560241699</v>
      </c>
      <c r="AG121" s="39">
        <v>28.043289184570312</v>
      </c>
      <c r="AH121" s="39">
        <v>31.213592529296875</v>
      </c>
      <c r="AI121" s="39">
        <v>27.91997241973877</v>
      </c>
      <c r="AJ121" s="39">
        <v>33.140886306762695</v>
      </c>
      <c r="AK121" s="39">
        <v>28.089691162109375</v>
      </c>
      <c r="AL121" s="24" t="s">
        <v>32</v>
      </c>
      <c r="AM121" s="68">
        <f t="shared" si="21"/>
        <v>99.985546761771246</v>
      </c>
      <c r="AP121" s="4" t="s">
        <v>530</v>
      </c>
      <c r="AQ121" s="24" t="s">
        <v>32</v>
      </c>
      <c r="AR121" s="44">
        <f t="shared" si="22"/>
        <v>-0.33553028106689453</v>
      </c>
      <c r="AS121" s="44">
        <f t="shared" si="23"/>
        <v>-1.3515796661376953</v>
      </c>
      <c r="AT121" s="44">
        <f t="shared" si="24"/>
        <v>-1.5346918106079102</v>
      </c>
      <c r="AU121" s="44">
        <f t="shared" si="25"/>
        <v>-2.4180269241333008</v>
      </c>
      <c r="AV121" s="44">
        <f t="shared" si="26"/>
        <v>7.1064949035644531</v>
      </c>
      <c r="AW121" s="44">
        <f t="shared" si="27"/>
        <v>5.9238119125366211</v>
      </c>
      <c r="AX121" s="44">
        <f t="shared" si="28"/>
        <v>3.0794553756713867</v>
      </c>
      <c r="AY121" s="44">
        <f t="shared" si="29"/>
        <v>3.2936201095581055</v>
      </c>
      <c r="AZ121" s="44">
        <f t="shared" si="30"/>
        <v>5.0511951446533203</v>
      </c>
      <c r="BA121" s="44"/>
      <c r="BB121" s="4" t="s">
        <v>530</v>
      </c>
      <c r="BC121" s="24" t="s">
        <v>32</v>
      </c>
      <c r="BD121" s="44" t="e">
        <f>AR121*#REF!</f>
        <v>#REF!</v>
      </c>
      <c r="BE121" s="44" t="e">
        <f>AS121*#REF!</f>
        <v>#REF!</v>
      </c>
      <c r="BF121" s="44" t="e">
        <f>AT121*#REF!</f>
        <v>#REF!</v>
      </c>
      <c r="BG121" s="44" t="e">
        <f>AU121*#REF!</f>
        <v>#REF!</v>
      </c>
      <c r="BH121" s="44" t="e">
        <f>AV121*#REF!</f>
        <v>#REF!</v>
      </c>
      <c r="BI121" s="44" t="e">
        <f>AW121*#REF!</f>
        <v>#REF!</v>
      </c>
      <c r="BJ121" s="44" t="e">
        <f>AX121*#REF!</f>
        <v>#REF!</v>
      </c>
      <c r="BK121" s="44" t="e">
        <f>AY121*#REF!</f>
        <v>#REF!</v>
      </c>
      <c r="BL121" s="44" t="e">
        <f>AZ121*#REF!</f>
        <v>#REF!</v>
      </c>
      <c r="BM121" s="44" t="e">
        <f t="shared" si="31"/>
        <v>#REF!</v>
      </c>
      <c r="BN121" s="83" t="e">
        <f t="shared" si="32"/>
        <v>#REF!</v>
      </c>
      <c r="BP121" s="87">
        <v>99.985546761771246</v>
      </c>
      <c r="BQ121" s="87">
        <v>0.99785442411726388</v>
      </c>
    </row>
    <row r="122" spans="1:69" s="25" customFormat="1" ht="18">
      <c r="A122" s="3" t="s">
        <v>276</v>
      </c>
      <c r="B122" s="3">
        <v>96</v>
      </c>
      <c r="C122" s="21">
        <v>96</v>
      </c>
      <c r="D122" s="22" t="s">
        <v>215</v>
      </c>
      <c r="E122" s="23" t="s">
        <v>379</v>
      </c>
      <c r="F122" s="3"/>
      <c r="G122" s="3"/>
      <c r="H122" s="4" t="s">
        <v>531</v>
      </c>
      <c r="I122" s="24" t="s">
        <v>32</v>
      </c>
      <c r="J122" s="24">
        <v>66</v>
      </c>
      <c r="K122" s="24" t="s">
        <v>184</v>
      </c>
      <c r="L122" s="35"/>
      <c r="M122" s="3"/>
      <c r="N122" s="3"/>
      <c r="O122" s="3">
        <v>28.63</v>
      </c>
      <c r="P122" s="3">
        <v>1.34</v>
      </c>
      <c r="Q122" s="3">
        <v>0.46</v>
      </c>
      <c r="R122" s="3">
        <v>30</v>
      </c>
      <c r="S122" s="3">
        <v>858.8</v>
      </c>
      <c r="T122" s="39">
        <v>26.840680122375488</v>
      </c>
      <c r="U122" s="39">
        <v>26.952458381652832</v>
      </c>
      <c r="V122" s="39">
        <v>25.729334831237793</v>
      </c>
      <c r="W122" s="39">
        <v>26.889375686645508</v>
      </c>
      <c r="X122" s="39">
        <v>25.609235763549805</v>
      </c>
      <c r="Y122" s="39">
        <v>25.943432807922363</v>
      </c>
      <c r="Z122" s="39">
        <v>24.781772613525391</v>
      </c>
      <c r="AA122" s="39">
        <v>26.560760498046875</v>
      </c>
      <c r="AB122" s="39">
        <v>35.682052612304688</v>
      </c>
      <c r="AC122" s="39">
        <v>29.105044364929199</v>
      </c>
      <c r="AD122" s="39">
        <v>32.65070915222168</v>
      </c>
      <c r="AE122" s="39">
        <v>26.974712371826172</v>
      </c>
      <c r="AF122" s="39">
        <v>30.357284545898438</v>
      </c>
      <c r="AG122" s="39">
        <v>27.018552780151367</v>
      </c>
      <c r="AH122" s="39">
        <v>29.848456382751465</v>
      </c>
      <c r="AI122" s="39">
        <v>26.865475654602051</v>
      </c>
      <c r="AJ122" s="39">
        <v>33.411657333374023</v>
      </c>
      <c r="AK122" s="39">
        <v>26.985871315002441</v>
      </c>
      <c r="AL122" s="24" t="s">
        <v>32</v>
      </c>
      <c r="AM122" s="68">
        <f t="shared" si="21"/>
        <v>99.984135916524792</v>
      </c>
      <c r="AP122" s="4" t="s">
        <v>531</v>
      </c>
      <c r="AQ122" s="24" t="s">
        <v>32</v>
      </c>
      <c r="AR122" s="44">
        <f t="shared" si="22"/>
        <v>-0.11177825927734375</v>
      </c>
      <c r="AS122" s="44">
        <f t="shared" si="23"/>
        <v>-1.1600408554077148</v>
      </c>
      <c r="AT122" s="44">
        <f t="shared" si="24"/>
        <v>-0.33419704437255859</v>
      </c>
      <c r="AU122" s="44">
        <f t="shared" si="25"/>
        <v>-1.7789878845214844</v>
      </c>
      <c r="AV122" s="44">
        <f t="shared" si="26"/>
        <v>6.5770082473754883</v>
      </c>
      <c r="AW122" s="44">
        <f t="shared" si="27"/>
        <v>5.6759967803955078</v>
      </c>
      <c r="AX122" s="44">
        <f t="shared" si="28"/>
        <v>3.3387317657470703</v>
      </c>
      <c r="AY122" s="44">
        <f t="shared" si="29"/>
        <v>2.9829807281494141</v>
      </c>
      <c r="AZ122" s="44">
        <f t="shared" si="30"/>
        <v>6.425786018371582</v>
      </c>
      <c r="BA122" s="44"/>
      <c r="BB122" s="4" t="s">
        <v>531</v>
      </c>
      <c r="BC122" s="24" t="s">
        <v>32</v>
      </c>
      <c r="BD122" s="44" t="e">
        <f>AR122*#REF!</f>
        <v>#REF!</v>
      </c>
      <c r="BE122" s="44" t="e">
        <f>AS122*#REF!</f>
        <v>#REF!</v>
      </c>
      <c r="BF122" s="44" t="e">
        <f>AT122*#REF!</f>
        <v>#REF!</v>
      </c>
      <c r="BG122" s="44" t="e">
        <f>AU122*#REF!</f>
        <v>#REF!</v>
      </c>
      <c r="BH122" s="44" t="e">
        <f>AV122*#REF!</f>
        <v>#REF!</v>
      </c>
      <c r="BI122" s="44" t="e">
        <f>AW122*#REF!</f>
        <v>#REF!</v>
      </c>
      <c r="BJ122" s="44" t="e">
        <f>AX122*#REF!</f>
        <v>#REF!</v>
      </c>
      <c r="BK122" s="44" t="e">
        <f>AY122*#REF!</f>
        <v>#REF!</v>
      </c>
      <c r="BL122" s="44" t="e">
        <f>AZ122*#REF!</f>
        <v>#REF!</v>
      </c>
      <c r="BM122" s="44" t="e">
        <f t="shared" si="31"/>
        <v>#REF!</v>
      </c>
      <c r="BN122" s="83" t="e">
        <f t="shared" si="32"/>
        <v>#REF!</v>
      </c>
      <c r="BP122" s="87">
        <v>99.984135916524792</v>
      </c>
      <c r="BQ122" s="87">
        <v>0.99829219565547123</v>
      </c>
    </row>
    <row r="123" spans="1:69" s="25" customFormat="1" ht="18">
      <c r="A123" s="3" t="s">
        <v>276</v>
      </c>
      <c r="B123" s="3">
        <v>97</v>
      </c>
      <c r="C123" s="21">
        <v>97</v>
      </c>
      <c r="D123" s="22" t="s">
        <v>216</v>
      </c>
      <c r="E123" s="23" t="s">
        <v>380</v>
      </c>
      <c r="F123" s="3"/>
      <c r="G123" s="3"/>
      <c r="H123" s="4" t="s">
        <v>532</v>
      </c>
      <c r="I123" s="24" t="s">
        <v>32</v>
      </c>
      <c r="J123" s="24">
        <v>73</v>
      </c>
      <c r="K123" s="24" t="s">
        <v>184</v>
      </c>
      <c r="L123" s="35"/>
      <c r="M123" s="3"/>
      <c r="N123" s="3"/>
      <c r="O123" s="3">
        <v>32.96</v>
      </c>
      <c r="P123" s="3">
        <v>1.4</v>
      </c>
      <c r="Q123" s="3">
        <v>0.48</v>
      </c>
      <c r="R123" s="3">
        <v>30</v>
      </c>
      <c r="S123" s="3">
        <v>988.7</v>
      </c>
      <c r="T123" s="39">
        <v>25.3851318359375</v>
      </c>
      <c r="U123" s="39">
        <v>24.045774459838867</v>
      </c>
      <c r="V123" s="39">
        <v>23.216055870056152</v>
      </c>
      <c r="W123" s="39">
        <v>23.99893856048584</v>
      </c>
      <c r="X123" s="39">
        <v>22.899230003356934</v>
      </c>
      <c r="Y123" s="39">
        <v>23.105358123779297</v>
      </c>
      <c r="Z123" s="39">
        <v>23.165755271911621</v>
      </c>
      <c r="AA123" s="39">
        <v>23.938150405883789</v>
      </c>
      <c r="AB123" s="39">
        <v>34.750528335571289</v>
      </c>
      <c r="AC123" s="39">
        <v>26.044737815856934</v>
      </c>
      <c r="AD123" s="39">
        <v>30.196785926818848</v>
      </c>
      <c r="AE123" s="39">
        <v>24.186661720275879</v>
      </c>
      <c r="AF123" s="39">
        <v>28.515694618225098</v>
      </c>
      <c r="AG123" s="39">
        <v>24.11421012878418</v>
      </c>
      <c r="AH123" s="39">
        <v>27.582418441772461</v>
      </c>
      <c r="AI123" s="39">
        <v>23.973808288574219</v>
      </c>
      <c r="AJ123" s="39">
        <v>31.318775177001953</v>
      </c>
      <c r="AK123" s="39">
        <v>24.196171760559082</v>
      </c>
      <c r="AL123" s="24" t="s">
        <v>32</v>
      </c>
      <c r="AM123" s="68">
        <f t="shared" si="21"/>
        <v>99.899819053120268</v>
      </c>
      <c r="AP123" s="4" t="s">
        <v>532</v>
      </c>
      <c r="AQ123" s="24" t="s">
        <v>32</v>
      </c>
      <c r="AR123" s="44">
        <f t="shared" si="22"/>
        <v>1.3393573760986328</v>
      </c>
      <c r="AS123" s="44">
        <f t="shared" si="23"/>
        <v>-0.7828826904296875</v>
      </c>
      <c r="AT123" s="44">
        <f t="shared" si="24"/>
        <v>-0.20612812042236328</v>
      </c>
      <c r="AU123" s="44">
        <f t="shared" si="25"/>
        <v>-0.77239513397216797</v>
      </c>
      <c r="AV123" s="44">
        <f t="shared" si="26"/>
        <v>8.7057905197143555</v>
      </c>
      <c r="AW123" s="44">
        <f t="shared" si="27"/>
        <v>6.0101242065429688</v>
      </c>
      <c r="AX123" s="44">
        <f t="shared" si="28"/>
        <v>4.401484489440918</v>
      </c>
      <c r="AY123" s="44">
        <f t="shared" si="29"/>
        <v>3.6086101531982422</v>
      </c>
      <c r="AZ123" s="44">
        <f t="shared" si="30"/>
        <v>7.1226034164428711</v>
      </c>
      <c r="BA123" s="44"/>
      <c r="BB123" s="4" t="s">
        <v>532</v>
      </c>
      <c r="BC123" s="24" t="s">
        <v>32</v>
      </c>
      <c r="BD123" s="44" t="e">
        <f>AR123*#REF!</f>
        <v>#REF!</v>
      </c>
      <c r="BE123" s="44" t="e">
        <f>AS123*#REF!</f>
        <v>#REF!</v>
      </c>
      <c r="BF123" s="44" t="e">
        <f>AT123*#REF!</f>
        <v>#REF!</v>
      </c>
      <c r="BG123" s="44" t="e">
        <f>AU123*#REF!</f>
        <v>#REF!</v>
      </c>
      <c r="BH123" s="44" t="e">
        <f>AV123*#REF!</f>
        <v>#REF!</v>
      </c>
      <c r="BI123" s="44" t="e">
        <f>AW123*#REF!</f>
        <v>#REF!</v>
      </c>
      <c r="BJ123" s="44" t="e">
        <f>AX123*#REF!</f>
        <v>#REF!</v>
      </c>
      <c r="BK123" s="44" t="e">
        <f>AY123*#REF!</f>
        <v>#REF!</v>
      </c>
      <c r="BL123" s="44" t="e">
        <f>AZ123*#REF!</f>
        <v>#REF!</v>
      </c>
      <c r="BM123" s="44" t="e">
        <f t="shared" si="31"/>
        <v>#REF!</v>
      </c>
      <c r="BN123" s="83" t="e">
        <f t="shared" si="32"/>
        <v>#REF!</v>
      </c>
      <c r="BP123" s="87">
        <v>99.899819053120268</v>
      </c>
      <c r="BQ123" s="87">
        <v>0.99298874592309616</v>
      </c>
    </row>
    <row r="124" spans="1:69" s="25" customFormat="1" ht="18">
      <c r="A124" s="3" t="s">
        <v>276</v>
      </c>
      <c r="B124" s="3">
        <v>98</v>
      </c>
      <c r="C124" s="21">
        <v>98</v>
      </c>
      <c r="D124" s="22" t="s">
        <v>217</v>
      </c>
      <c r="E124" s="23" t="s">
        <v>381</v>
      </c>
      <c r="F124" s="3"/>
      <c r="G124" s="3"/>
      <c r="H124" s="4" t="s">
        <v>533</v>
      </c>
      <c r="I124" s="24" t="s">
        <v>32</v>
      </c>
      <c r="J124" s="24">
        <v>80</v>
      </c>
      <c r="K124" s="24" t="s">
        <v>184</v>
      </c>
      <c r="L124" s="35">
        <v>20200908</v>
      </c>
      <c r="M124" s="3"/>
      <c r="N124" s="3"/>
      <c r="O124" s="3">
        <v>36.450000000000003</v>
      </c>
      <c r="P124" s="3">
        <v>1.38</v>
      </c>
      <c r="Q124" s="3">
        <v>0.48</v>
      </c>
      <c r="R124" s="3">
        <v>30</v>
      </c>
      <c r="S124" s="3">
        <v>1093.5999999999999</v>
      </c>
      <c r="T124" s="39">
        <v>30.844447135925293</v>
      </c>
      <c r="U124" s="39">
        <v>25.447671890258789</v>
      </c>
      <c r="V124" s="39">
        <v>27.451559066772461</v>
      </c>
      <c r="W124" s="39">
        <v>26.872282981872559</v>
      </c>
      <c r="X124" s="39">
        <v>27.049633979797363</v>
      </c>
      <c r="Y124" s="39">
        <v>26.106417655944824</v>
      </c>
      <c r="Z124" s="39">
        <v>27.584945678710938</v>
      </c>
      <c r="AA124" s="39">
        <v>26.837723731994629</v>
      </c>
      <c r="AB124" s="39">
        <v>37.973188400268555</v>
      </c>
      <c r="AC124" s="39">
        <v>29.003111839294434</v>
      </c>
      <c r="AD124" s="39">
        <v>37.536531448364258</v>
      </c>
      <c r="AE124" s="39">
        <v>26.942299842834473</v>
      </c>
      <c r="AF124" s="39">
        <v>33.455465316772461</v>
      </c>
      <c r="AG124" s="39">
        <v>26.982351303100586</v>
      </c>
      <c r="AH124" s="39">
        <v>33.866489410400391</v>
      </c>
      <c r="AI124" s="39">
        <v>26.999495506286621</v>
      </c>
      <c r="AJ124" s="39">
        <v>36.889305114746094</v>
      </c>
      <c r="AK124" s="39">
        <v>26.936352729797363</v>
      </c>
      <c r="AL124" s="24" t="s">
        <v>32</v>
      </c>
      <c r="AM124" s="68">
        <f t="shared" si="21"/>
        <v>99.584822658510319</v>
      </c>
      <c r="AP124" s="4" t="s">
        <v>533</v>
      </c>
      <c r="AQ124" s="24" t="s">
        <v>32</v>
      </c>
      <c r="AR124" s="44">
        <f t="shared" si="22"/>
        <v>5.3967752456665039</v>
      </c>
      <c r="AS124" s="44">
        <f t="shared" si="23"/>
        <v>0.57927608489990234</v>
      </c>
      <c r="AT124" s="44">
        <f t="shared" si="24"/>
        <v>0.94321632385253906</v>
      </c>
      <c r="AU124" s="44">
        <f t="shared" si="25"/>
        <v>0.74722194671630859</v>
      </c>
      <c r="AV124" s="44">
        <f t="shared" si="26"/>
        <v>8.9700765609741211</v>
      </c>
      <c r="AW124" s="44">
        <f t="shared" si="27"/>
        <v>10.594231605529785</v>
      </c>
      <c r="AX124" s="44">
        <f t="shared" si="28"/>
        <v>6.473114013671875</v>
      </c>
      <c r="AY124" s="44">
        <f t="shared" si="29"/>
        <v>6.8669939041137695</v>
      </c>
      <c r="AZ124" s="44">
        <f t="shared" si="30"/>
        <v>9.9529523849487305</v>
      </c>
      <c r="BA124" s="44"/>
      <c r="BB124" s="4" t="s">
        <v>533</v>
      </c>
      <c r="BC124" s="24" t="s">
        <v>32</v>
      </c>
      <c r="BD124" s="44" t="e">
        <f>AR124*#REF!</f>
        <v>#REF!</v>
      </c>
      <c r="BE124" s="44" t="e">
        <f>AS124*#REF!</f>
        <v>#REF!</v>
      </c>
      <c r="BF124" s="44" t="e">
        <f>AT124*#REF!</f>
        <v>#REF!</v>
      </c>
      <c r="BG124" s="44" t="e">
        <f>AU124*#REF!</f>
        <v>#REF!</v>
      </c>
      <c r="BH124" s="44" t="e">
        <f>AV124*#REF!</f>
        <v>#REF!</v>
      </c>
      <c r="BI124" s="44" t="e">
        <f>AW124*#REF!</f>
        <v>#REF!</v>
      </c>
      <c r="BJ124" s="44" t="e">
        <f>AX124*#REF!</f>
        <v>#REF!</v>
      </c>
      <c r="BK124" s="44" t="e">
        <f>AY124*#REF!</f>
        <v>#REF!</v>
      </c>
      <c r="BL124" s="44" t="e">
        <f>AZ124*#REF!</f>
        <v>#REF!</v>
      </c>
      <c r="BM124" s="44" t="e">
        <f t="shared" si="31"/>
        <v>#REF!</v>
      </c>
      <c r="BN124" s="83" t="e">
        <f t="shared" si="32"/>
        <v>#REF!</v>
      </c>
      <c r="BP124" s="87">
        <v>99.584822658510319</v>
      </c>
      <c r="BQ124" s="87">
        <v>0.94551349745569491</v>
      </c>
    </row>
    <row r="125" spans="1:69" s="25" customFormat="1" ht="18">
      <c r="A125" s="3" t="s">
        <v>276</v>
      </c>
      <c r="B125" s="3">
        <v>99</v>
      </c>
      <c r="C125" s="21">
        <v>99</v>
      </c>
      <c r="D125" s="22" t="s">
        <v>217</v>
      </c>
      <c r="E125" s="23" t="s">
        <v>381</v>
      </c>
      <c r="F125" s="3"/>
      <c r="G125" s="3"/>
      <c r="H125" s="4" t="s">
        <v>534</v>
      </c>
      <c r="I125" s="24" t="s">
        <v>32</v>
      </c>
      <c r="J125" s="24">
        <v>80</v>
      </c>
      <c r="K125" s="24" t="s">
        <v>184</v>
      </c>
      <c r="L125" s="35">
        <v>20200908</v>
      </c>
      <c r="M125" s="3"/>
      <c r="N125" s="3"/>
      <c r="O125" s="3">
        <v>27.53</v>
      </c>
      <c r="P125" s="3">
        <v>1.35</v>
      </c>
      <c r="Q125" s="3">
        <v>0.44</v>
      </c>
      <c r="R125" s="3">
        <v>30</v>
      </c>
      <c r="S125" s="3">
        <v>825.9</v>
      </c>
      <c r="T125" s="39">
        <v>27.264435768127441</v>
      </c>
      <c r="U125" s="39">
        <v>27.690237045288086</v>
      </c>
      <c r="V125" s="39">
        <v>26.234672546386719</v>
      </c>
      <c r="W125" s="39">
        <v>27.673728942871094</v>
      </c>
      <c r="X125" s="39">
        <v>26.574176788330078</v>
      </c>
      <c r="Y125" s="39">
        <v>26.783037185668945</v>
      </c>
      <c r="Z125" s="39">
        <v>27.372211456298828</v>
      </c>
      <c r="AA125" s="39">
        <v>27.681510925292969</v>
      </c>
      <c r="AB125" s="39">
        <v>38.964523315429688</v>
      </c>
      <c r="AC125" s="39">
        <v>30.090091705322266</v>
      </c>
      <c r="AD125" s="39">
        <v>33.75901985168457</v>
      </c>
      <c r="AE125" s="39">
        <v>27.858785629272461</v>
      </c>
      <c r="AF125" s="39">
        <v>32.838615417480469</v>
      </c>
      <c r="AG125" s="39">
        <v>27.873056411743164</v>
      </c>
      <c r="AH125" s="39">
        <v>30.71852970123291</v>
      </c>
      <c r="AI125" s="39">
        <v>27.662508964538574</v>
      </c>
      <c r="AJ125" s="39">
        <v>34.328742980957031</v>
      </c>
      <c r="AK125" s="39">
        <v>27.877965927124023</v>
      </c>
      <c r="AL125" s="24" t="s">
        <v>32</v>
      </c>
      <c r="AM125" s="68">
        <f t="shared" si="21"/>
        <v>99.172981740879735</v>
      </c>
      <c r="AP125" s="4" t="s">
        <v>534</v>
      </c>
      <c r="AQ125" s="24" t="s">
        <v>32</v>
      </c>
      <c r="AR125" s="44">
        <f t="shared" si="22"/>
        <v>-0.42580127716064453</v>
      </c>
      <c r="AS125" s="44">
        <f t="shared" si="23"/>
        <v>-1.439056396484375</v>
      </c>
      <c r="AT125" s="44">
        <f t="shared" si="24"/>
        <v>-0.20886039733886719</v>
      </c>
      <c r="AU125" s="44">
        <f t="shared" si="25"/>
        <v>-0.30929946899414062</v>
      </c>
      <c r="AV125" s="44">
        <f t="shared" si="26"/>
        <v>8.8744316101074219</v>
      </c>
      <c r="AW125" s="44">
        <f t="shared" si="27"/>
        <v>5.9002342224121094</v>
      </c>
      <c r="AX125" s="44">
        <f t="shared" si="28"/>
        <v>4.9655590057373047</v>
      </c>
      <c r="AY125" s="44">
        <f t="shared" si="29"/>
        <v>3.0560207366943359</v>
      </c>
      <c r="AZ125" s="44">
        <f t="shared" si="30"/>
        <v>6.4507770538330078</v>
      </c>
      <c r="BA125" s="44"/>
      <c r="BB125" s="4" t="s">
        <v>534</v>
      </c>
      <c r="BC125" s="24" t="s">
        <v>32</v>
      </c>
      <c r="BD125" s="44" t="e">
        <f>AR125*#REF!</f>
        <v>#REF!</v>
      </c>
      <c r="BE125" s="44" t="e">
        <f>AS125*#REF!</f>
        <v>#REF!</v>
      </c>
      <c r="BF125" s="44" t="e">
        <f>AT125*#REF!</f>
        <v>#REF!</v>
      </c>
      <c r="BG125" s="44" t="e">
        <f>AU125*#REF!</f>
        <v>#REF!</v>
      </c>
      <c r="BH125" s="44" t="e">
        <f>AV125*#REF!</f>
        <v>#REF!</v>
      </c>
      <c r="BI125" s="44" t="e">
        <f>AW125*#REF!</f>
        <v>#REF!</v>
      </c>
      <c r="BJ125" s="44" t="e">
        <f>AX125*#REF!</f>
        <v>#REF!</v>
      </c>
      <c r="BK125" s="44" t="e">
        <f>AY125*#REF!</f>
        <v>#REF!</v>
      </c>
      <c r="BL125" s="44" t="e">
        <f>AZ125*#REF!</f>
        <v>#REF!</v>
      </c>
      <c r="BM125" s="44" t="e">
        <f t="shared" si="31"/>
        <v>#REF!</v>
      </c>
      <c r="BN125" s="83" t="e">
        <f t="shared" si="32"/>
        <v>#REF!</v>
      </c>
      <c r="BP125" s="87">
        <v>99.172981740879735</v>
      </c>
      <c r="BQ125" s="87">
        <v>0.98876913140235534</v>
      </c>
    </row>
    <row r="126" spans="1:69" s="25" customFormat="1" ht="18">
      <c r="A126" s="3" t="s">
        <v>276</v>
      </c>
      <c r="B126" s="3">
        <v>100</v>
      </c>
      <c r="C126" s="21">
        <v>100</v>
      </c>
      <c r="D126" s="22" t="s">
        <v>218</v>
      </c>
      <c r="E126" s="23" t="s">
        <v>382</v>
      </c>
      <c r="F126" s="3"/>
      <c r="G126" s="3"/>
      <c r="H126" s="4" t="s">
        <v>535</v>
      </c>
      <c r="I126" s="24" t="s">
        <v>32</v>
      </c>
      <c r="J126" s="24">
        <v>80</v>
      </c>
      <c r="K126" s="24" t="s">
        <v>184</v>
      </c>
      <c r="L126" s="35">
        <v>20190619</v>
      </c>
      <c r="M126" s="3"/>
      <c r="N126" s="3"/>
      <c r="O126" s="3">
        <v>35.700000000000003</v>
      </c>
      <c r="P126" s="3">
        <v>1.39</v>
      </c>
      <c r="Q126" s="3">
        <v>0.47</v>
      </c>
      <c r="R126" s="3">
        <v>30</v>
      </c>
      <c r="S126" s="3">
        <v>1071.0999999999999</v>
      </c>
      <c r="T126" s="39">
        <v>27.696738243103027</v>
      </c>
      <c r="U126" s="39">
        <v>27.896461486816406</v>
      </c>
      <c r="V126" s="39">
        <v>26.623329162597656</v>
      </c>
      <c r="W126" s="39">
        <v>27.918360710144043</v>
      </c>
      <c r="X126" s="39">
        <v>26.848944664001465</v>
      </c>
      <c r="Y126" s="39">
        <v>27.054562568664551</v>
      </c>
      <c r="Z126" s="39">
        <v>26.66893482208252</v>
      </c>
      <c r="AA126" s="39">
        <v>27.686883926391602</v>
      </c>
      <c r="AB126" s="39">
        <v>38.20625114440918</v>
      </c>
      <c r="AC126" s="39">
        <v>30.124635696411133</v>
      </c>
      <c r="AD126" s="39">
        <v>33.430654525756836</v>
      </c>
      <c r="AE126" s="39">
        <v>27.973967552185059</v>
      </c>
      <c r="AF126" s="39">
        <v>33.161308288574219</v>
      </c>
      <c r="AG126" s="39">
        <v>27.965884208679199</v>
      </c>
      <c r="AH126" s="39">
        <v>31.129103660583496</v>
      </c>
      <c r="AI126" s="39">
        <v>27.899300575256348</v>
      </c>
      <c r="AJ126" s="39">
        <v>34.567426681518555</v>
      </c>
      <c r="AK126" s="39">
        <v>28.066061019897461</v>
      </c>
      <c r="AL126" s="24" t="s">
        <v>32</v>
      </c>
      <c r="AM126" s="68">
        <f t="shared" si="21"/>
        <v>99.173730703771284</v>
      </c>
      <c r="AP126" s="4" t="s">
        <v>535</v>
      </c>
      <c r="AQ126" s="24" t="s">
        <v>32</v>
      </c>
      <c r="AR126" s="44">
        <f t="shared" si="22"/>
        <v>-0.19972324371337891</v>
      </c>
      <c r="AS126" s="44">
        <f t="shared" si="23"/>
        <v>-1.2950315475463867</v>
      </c>
      <c r="AT126" s="44">
        <f t="shared" si="24"/>
        <v>-0.20561790466308594</v>
      </c>
      <c r="AU126" s="44">
        <f t="shared" si="25"/>
        <v>-1.017949104309082</v>
      </c>
      <c r="AV126" s="44">
        <f t="shared" si="26"/>
        <v>8.0816154479980469</v>
      </c>
      <c r="AW126" s="44">
        <f t="shared" si="27"/>
        <v>5.4566869735717773</v>
      </c>
      <c r="AX126" s="44">
        <f t="shared" si="28"/>
        <v>5.1954240798950195</v>
      </c>
      <c r="AY126" s="44">
        <f t="shared" si="29"/>
        <v>3.2298030853271484</v>
      </c>
      <c r="AZ126" s="44">
        <f t="shared" si="30"/>
        <v>6.5013656616210938</v>
      </c>
      <c r="BA126" s="44"/>
      <c r="BB126" s="4" t="s">
        <v>535</v>
      </c>
      <c r="BC126" s="24" t="s">
        <v>32</v>
      </c>
      <c r="BD126" s="44" t="e">
        <f>AR126*#REF!</f>
        <v>#REF!</v>
      </c>
      <c r="BE126" s="44" t="e">
        <f>AS126*#REF!</f>
        <v>#REF!</v>
      </c>
      <c r="BF126" s="44" t="e">
        <f>AT126*#REF!</f>
        <v>#REF!</v>
      </c>
      <c r="BG126" s="44" t="e">
        <f>AU126*#REF!</f>
        <v>#REF!</v>
      </c>
      <c r="BH126" s="44" t="e">
        <f>AV126*#REF!</f>
        <v>#REF!</v>
      </c>
      <c r="BI126" s="44" t="e">
        <f>AW126*#REF!</f>
        <v>#REF!</v>
      </c>
      <c r="BJ126" s="44" t="e">
        <f>AX126*#REF!</f>
        <v>#REF!</v>
      </c>
      <c r="BK126" s="44" t="e">
        <f>AY126*#REF!</f>
        <v>#REF!</v>
      </c>
      <c r="BL126" s="44" t="e">
        <f>AZ126*#REF!</f>
        <v>#REF!</v>
      </c>
      <c r="BM126" s="44" t="e">
        <f t="shared" si="31"/>
        <v>#REF!</v>
      </c>
      <c r="BN126" s="83" t="e">
        <f t="shared" si="32"/>
        <v>#REF!</v>
      </c>
      <c r="BP126" s="87">
        <v>99.173730703771284</v>
      </c>
      <c r="BQ126" s="87">
        <v>0.98728896887768924</v>
      </c>
    </row>
    <row r="127" spans="1:69" s="25" customFormat="1" ht="18">
      <c r="A127" s="3" t="s">
        <v>276</v>
      </c>
      <c r="B127" s="3">
        <v>101</v>
      </c>
      <c r="C127" s="21">
        <v>1</v>
      </c>
      <c r="D127" s="22" t="s">
        <v>219</v>
      </c>
      <c r="E127" s="23" t="s">
        <v>383</v>
      </c>
      <c r="F127" s="3"/>
      <c r="G127" s="3"/>
      <c r="H127" s="4" t="s">
        <v>536</v>
      </c>
      <c r="I127" s="24" t="s">
        <v>32</v>
      </c>
      <c r="J127" s="24">
        <v>80</v>
      </c>
      <c r="K127" s="24" t="s">
        <v>184</v>
      </c>
      <c r="L127" s="35">
        <v>20200610</v>
      </c>
      <c r="M127" s="3"/>
      <c r="N127" s="3"/>
      <c r="O127" s="3">
        <v>26.52</v>
      </c>
      <c r="P127" s="3">
        <v>1.35</v>
      </c>
      <c r="Q127" s="3">
        <v>0.43</v>
      </c>
      <c r="R127" s="3">
        <v>30</v>
      </c>
      <c r="S127" s="3">
        <v>795.5</v>
      </c>
      <c r="T127" s="39">
        <v>30.07068920135498</v>
      </c>
      <c r="U127" s="39">
        <v>26.710993766784668</v>
      </c>
      <c r="V127" s="39">
        <v>27.31717586517334</v>
      </c>
      <c r="W127" s="39">
        <v>26.61746883392334</v>
      </c>
      <c r="X127" s="39">
        <v>26.501838684082031</v>
      </c>
      <c r="Y127" s="39">
        <v>25.750725746154785</v>
      </c>
      <c r="Z127" s="39">
        <v>26.699074745178223</v>
      </c>
      <c r="AA127" s="39">
        <v>26.320738792419434</v>
      </c>
      <c r="AB127" s="39">
        <v>38.292133331298828</v>
      </c>
      <c r="AC127" s="39">
        <v>28.528999328613281</v>
      </c>
      <c r="AD127" s="39">
        <v>37.669881820678711</v>
      </c>
      <c r="AE127" s="39">
        <v>26.70458984375</v>
      </c>
      <c r="AF127" s="39">
        <v>32.709632873535156</v>
      </c>
      <c r="AG127" s="39">
        <v>26.552822113037109</v>
      </c>
      <c r="AH127" s="39">
        <v>33.861942291259766</v>
      </c>
      <c r="AI127" s="39">
        <v>26.69663143157959</v>
      </c>
      <c r="AJ127" s="39">
        <v>35.465326309204102</v>
      </c>
      <c r="AK127" s="39">
        <v>26.589472770690918</v>
      </c>
      <c r="AL127" s="24" t="s">
        <v>32</v>
      </c>
      <c r="AM127" s="68">
        <f t="shared" si="21"/>
        <v>98.965960768312456</v>
      </c>
      <c r="AP127" s="4" t="s">
        <v>536</v>
      </c>
      <c r="AQ127" s="24" t="s">
        <v>32</v>
      </c>
      <c r="AR127" s="44">
        <f t="shared" si="22"/>
        <v>3.3596954345703125</v>
      </c>
      <c r="AS127" s="44">
        <f t="shared" si="23"/>
        <v>0.69970703125</v>
      </c>
      <c r="AT127" s="44">
        <f t="shared" si="24"/>
        <v>0.75111293792724609</v>
      </c>
      <c r="AU127" s="44">
        <f t="shared" si="25"/>
        <v>0.37833595275878906</v>
      </c>
      <c r="AV127" s="44">
        <f t="shared" si="26"/>
        <v>9.7631340026855469</v>
      </c>
      <c r="AW127" s="44">
        <f t="shared" si="27"/>
        <v>10.965291976928711</v>
      </c>
      <c r="AX127" s="44">
        <f t="shared" si="28"/>
        <v>6.1568107604980469</v>
      </c>
      <c r="AY127" s="44">
        <f t="shared" si="29"/>
        <v>7.1653108596801758</v>
      </c>
      <c r="AZ127" s="44">
        <f t="shared" si="30"/>
        <v>8.8758535385131836</v>
      </c>
      <c r="BA127" s="44"/>
      <c r="BB127" s="4" t="s">
        <v>536</v>
      </c>
      <c r="BC127" s="24" t="s">
        <v>32</v>
      </c>
      <c r="BD127" s="44" t="e">
        <f>AR127*#REF!</f>
        <v>#REF!</v>
      </c>
      <c r="BE127" s="44" t="e">
        <f>AS127*#REF!</f>
        <v>#REF!</v>
      </c>
      <c r="BF127" s="44" t="e">
        <f>AT127*#REF!</f>
        <v>#REF!</v>
      </c>
      <c r="BG127" s="44" t="e">
        <f>AU127*#REF!</f>
        <v>#REF!</v>
      </c>
      <c r="BH127" s="44" t="e">
        <f>AV127*#REF!</f>
        <v>#REF!</v>
      </c>
      <c r="BI127" s="44" t="e">
        <f>AW127*#REF!</f>
        <v>#REF!</v>
      </c>
      <c r="BJ127" s="44" t="e">
        <f>AX127*#REF!</f>
        <v>#REF!</v>
      </c>
      <c r="BK127" s="44" t="e">
        <f>AY127*#REF!</f>
        <v>#REF!</v>
      </c>
      <c r="BL127" s="44" t="e">
        <f>AZ127*#REF!</f>
        <v>#REF!</v>
      </c>
      <c r="BM127" s="44" t="e">
        <f t="shared" si="31"/>
        <v>#REF!</v>
      </c>
      <c r="BN127" s="83" t="e">
        <f t="shared" si="32"/>
        <v>#REF!</v>
      </c>
      <c r="BP127" s="87">
        <v>98.965960768312456</v>
      </c>
      <c r="BQ127" s="87">
        <v>0.89725469808308467</v>
      </c>
    </row>
    <row r="128" spans="1:69" s="25" customFormat="1" ht="18">
      <c r="A128" s="3" t="s">
        <v>276</v>
      </c>
      <c r="B128" s="3">
        <v>102</v>
      </c>
      <c r="C128" s="21">
        <v>2</v>
      </c>
      <c r="D128" s="22" t="s">
        <v>220</v>
      </c>
      <c r="E128" s="23" t="s">
        <v>384</v>
      </c>
      <c r="F128" s="3"/>
      <c r="G128" s="3"/>
      <c r="H128" s="4" t="s">
        <v>537</v>
      </c>
      <c r="I128" s="24" t="s">
        <v>32</v>
      </c>
      <c r="J128" s="24">
        <v>85</v>
      </c>
      <c r="K128" s="24" t="s">
        <v>184</v>
      </c>
      <c r="L128" s="35">
        <v>20210302</v>
      </c>
      <c r="M128" s="3"/>
      <c r="N128" s="3"/>
      <c r="O128" s="3">
        <v>22.76</v>
      </c>
      <c r="P128" s="3">
        <v>1.34</v>
      </c>
      <c r="Q128" s="3">
        <v>0.41</v>
      </c>
      <c r="R128" s="3">
        <v>30</v>
      </c>
      <c r="S128" s="3">
        <v>682.8</v>
      </c>
      <c r="T128" s="39">
        <v>27.660869598388672</v>
      </c>
      <c r="U128" s="39">
        <v>26.393645286560059</v>
      </c>
      <c r="V128" s="39">
        <v>26.424448013305664</v>
      </c>
      <c r="W128" s="39">
        <v>26.373178482055664</v>
      </c>
      <c r="X128" s="39">
        <v>25.262223243713379</v>
      </c>
      <c r="Y128" s="39">
        <v>25.423306465148926</v>
      </c>
      <c r="Z128" s="39">
        <v>25.889739990234375</v>
      </c>
      <c r="AA128" s="39">
        <v>25.994654655456543</v>
      </c>
      <c r="AB128" s="39">
        <v>37.896894454956055</v>
      </c>
      <c r="AC128" s="39">
        <v>28.266666412353516</v>
      </c>
      <c r="AD128" s="39">
        <v>35.240976333618164</v>
      </c>
      <c r="AE128" s="39">
        <v>26.511629104614258</v>
      </c>
      <c r="AF128" s="39">
        <v>31.946148872375488</v>
      </c>
      <c r="AG128" s="39">
        <v>26.37680721282959</v>
      </c>
      <c r="AH128" s="39">
        <v>31.56989860534668</v>
      </c>
      <c r="AI128" s="39">
        <v>26.391480445861816</v>
      </c>
      <c r="AJ128" s="39">
        <v>34.049152374267578</v>
      </c>
      <c r="AK128" s="39">
        <v>26.408468246459961</v>
      </c>
      <c r="AL128" s="24" t="s">
        <v>32</v>
      </c>
      <c r="AM128" s="68">
        <f t="shared" si="21"/>
        <v>98.824628392150672</v>
      </c>
      <c r="AP128" s="4" t="s">
        <v>537</v>
      </c>
      <c r="AQ128" s="24" t="s">
        <v>32</v>
      </c>
      <c r="AR128" s="44">
        <f t="shared" si="22"/>
        <v>1.2672243118286133</v>
      </c>
      <c r="AS128" s="44">
        <f t="shared" si="23"/>
        <v>5.126953125E-2</v>
      </c>
      <c r="AT128" s="44">
        <f t="shared" si="24"/>
        <v>-0.16108322143554688</v>
      </c>
      <c r="AU128" s="44">
        <f t="shared" si="25"/>
        <v>-0.10491466522216797</v>
      </c>
      <c r="AV128" s="44">
        <f t="shared" si="26"/>
        <v>9.6302280426025391</v>
      </c>
      <c r="AW128" s="44">
        <f t="shared" si="27"/>
        <v>8.7293472290039062</v>
      </c>
      <c r="AX128" s="44">
        <f t="shared" si="28"/>
        <v>5.5693416595458984</v>
      </c>
      <c r="AY128" s="44">
        <f t="shared" si="29"/>
        <v>5.1784181594848633</v>
      </c>
      <c r="AZ128" s="44">
        <f t="shared" si="30"/>
        <v>7.6406841278076172</v>
      </c>
      <c r="BA128" s="44"/>
      <c r="BB128" s="4" t="s">
        <v>537</v>
      </c>
      <c r="BC128" s="24" t="s">
        <v>32</v>
      </c>
      <c r="BD128" s="44" t="e">
        <f>AR128*#REF!</f>
        <v>#REF!</v>
      </c>
      <c r="BE128" s="44" t="e">
        <f>AS128*#REF!</f>
        <v>#REF!</v>
      </c>
      <c r="BF128" s="44" t="e">
        <f>AT128*#REF!</f>
        <v>#REF!</v>
      </c>
      <c r="BG128" s="44" t="e">
        <f>AU128*#REF!</f>
        <v>#REF!</v>
      </c>
      <c r="BH128" s="44" t="e">
        <f>AV128*#REF!</f>
        <v>#REF!</v>
      </c>
      <c r="BI128" s="44" t="e">
        <f>AW128*#REF!</f>
        <v>#REF!</v>
      </c>
      <c r="BJ128" s="44" t="e">
        <f>AX128*#REF!</f>
        <v>#REF!</v>
      </c>
      <c r="BK128" s="44" t="e">
        <f>AY128*#REF!</f>
        <v>#REF!</v>
      </c>
      <c r="BL128" s="44" t="e">
        <f>AZ128*#REF!</f>
        <v>#REF!</v>
      </c>
      <c r="BM128" s="44" t="e">
        <f t="shared" si="31"/>
        <v>#REF!</v>
      </c>
      <c r="BN128" s="83" t="e">
        <f t="shared" si="32"/>
        <v>#REF!</v>
      </c>
      <c r="BP128" s="87">
        <v>98.824628392150672</v>
      </c>
      <c r="BQ128" s="87">
        <v>0.95813722220993292</v>
      </c>
    </row>
    <row r="129" spans="1:69" s="25" customFormat="1" ht="18">
      <c r="A129" s="3" t="s">
        <v>276</v>
      </c>
      <c r="B129" s="3">
        <v>103</v>
      </c>
      <c r="C129" s="21">
        <v>3</v>
      </c>
      <c r="D129" s="22" t="s">
        <v>221</v>
      </c>
      <c r="E129" s="23" t="s">
        <v>384</v>
      </c>
      <c r="F129" s="3"/>
      <c r="G129" s="3"/>
      <c r="H129" s="4" t="s">
        <v>538</v>
      </c>
      <c r="I129" s="24" t="s">
        <v>32</v>
      </c>
      <c r="J129" s="24">
        <v>85</v>
      </c>
      <c r="K129" s="24" t="s">
        <v>184</v>
      </c>
      <c r="L129" s="35">
        <v>20210302</v>
      </c>
      <c r="M129" s="3"/>
      <c r="N129" s="3"/>
      <c r="O129" s="3">
        <v>26.16</v>
      </c>
      <c r="P129" s="3">
        <v>1.36</v>
      </c>
      <c r="Q129" s="3">
        <v>0.43</v>
      </c>
      <c r="R129" s="3">
        <v>30</v>
      </c>
      <c r="S129" s="3">
        <v>784.9</v>
      </c>
      <c r="T129" s="39">
        <v>25.447912216186523</v>
      </c>
      <c r="U129" s="39">
        <v>26.421366691589355</v>
      </c>
      <c r="V129" s="39">
        <v>24.58726692199707</v>
      </c>
      <c r="W129" s="39">
        <v>26.311446189880371</v>
      </c>
      <c r="X129" s="39">
        <v>25.329878807067871</v>
      </c>
      <c r="Y129" s="39">
        <v>25.511283874511719</v>
      </c>
      <c r="Z129" s="39">
        <v>25.557778358459473</v>
      </c>
      <c r="AA129" s="39">
        <v>26.054256439208984</v>
      </c>
      <c r="AB129" s="39">
        <v>37.591413497924805</v>
      </c>
      <c r="AC129" s="39">
        <v>28.383524894714355</v>
      </c>
      <c r="AD129" s="39">
        <v>32.095186233520508</v>
      </c>
      <c r="AE129" s="39">
        <v>26.477663040161133</v>
      </c>
      <c r="AF129" s="39">
        <v>32.228607177734375</v>
      </c>
      <c r="AG129" s="39">
        <v>26.501953125</v>
      </c>
      <c r="AH129" s="39">
        <v>28.819693565368652</v>
      </c>
      <c r="AI129" s="39">
        <v>26.070282936096191</v>
      </c>
      <c r="AJ129" s="39">
        <v>32.759834289550781</v>
      </c>
      <c r="AK129" s="39">
        <v>26.361821174621582</v>
      </c>
      <c r="AL129" s="24" t="s">
        <v>32</v>
      </c>
      <c r="AM129" s="68">
        <f t="shared" si="21"/>
        <v>95.124051893682392</v>
      </c>
      <c r="AP129" s="4" t="s">
        <v>538</v>
      </c>
      <c r="AQ129" s="24" t="s">
        <v>32</v>
      </c>
      <c r="AR129" s="44">
        <f t="shared" si="22"/>
        <v>-0.97345447540283203</v>
      </c>
      <c r="AS129" s="44">
        <f t="shared" si="23"/>
        <v>-1.7241792678833008</v>
      </c>
      <c r="AT129" s="44">
        <f t="shared" si="24"/>
        <v>-0.18140506744384766</v>
      </c>
      <c r="AU129" s="44">
        <f t="shared" si="25"/>
        <v>-0.49647808074951172</v>
      </c>
      <c r="AV129" s="44">
        <f t="shared" si="26"/>
        <v>9.2078886032104492</v>
      </c>
      <c r="AW129" s="44">
        <f t="shared" si="27"/>
        <v>5.617523193359375</v>
      </c>
      <c r="AX129" s="44">
        <f t="shared" si="28"/>
        <v>5.726654052734375</v>
      </c>
      <c r="AY129" s="44">
        <f t="shared" si="29"/>
        <v>2.7494106292724609</v>
      </c>
      <c r="AZ129" s="44">
        <f t="shared" si="30"/>
        <v>6.3980131149291992</v>
      </c>
      <c r="BA129" s="44"/>
      <c r="BB129" s="4" t="s">
        <v>538</v>
      </c>
      <c r="BC129" s="24" t="s">
        <v>32</v>
      </c>
      <c r="BD129" s="44" t="e">
        <f>AR129*#REF!</f>
        <v>#REF!</v>
      </c>
      <c r="BE129" s="44" t="e">
        <f>AS129*#REF!</f>
        <v>#REF!</v>
      </c>
      <c r="BF129" s="44" t="e">
        <f>AT129*#REF!</f>
        <v>#REF!</v>
      </c>
      <c r="BG129" s="44" t="e">
        <f>AU129*#REF!</f>
        <v>#REF!</v>
      </c>
      <c r="BH129" s="44" t="e">
        <f>AV129*#REF!</f>
        <v>#REF!</v>
      </c>
      <c r="BI129" s="44" t="e">
        <f>AW129*#REF!</f>
        <v>#REF!</v>
      </c>
      <c r="BJ129" s="44" t="e">
        <f>AX129*#REF!</f>
        <v>#REF!</v>
      </c>
      <c r="BK129" s="44" t="e">
        <f>AY129*#REF!</f>
        <v>#REF!</v>
      </c>
      <c r="BL129" s="44" t="e">
        <f>AZ129*#REF!</f>
        <v>#REF!</v>
      </c>
      <c r="BM129" s="44" t="e">
        <f t="shared" si="31"/>
        <v>#REF!</v>
      </c>
      <c r="BN129" s="83" t="e">
        <f t="shared" si="32"/>
        <v>#REF!</v>
      </c>
      <c r="BP129" s="87">
        <v>95.124051893682392</v>
      </c>
      <c r="BQ129" s="87">
        <v>0.97437808377085555</v>
      </c>
    </row>
    <row r="130" spans="1:69" s="25" customFormat="1" ht="18">
      <c r="A130" s="3" t="s">
        <v>276</v>
      </c>
      <c r="B130" s="3">
        <v>104</v>
      </c>
      <c r="C130" s="21">
        <v>4</v>
      </c>
      <c r="D130" s="22" t="s">
        <v>222</v>
      </c>
      <c r="E130" s="23" t="s">
        <v>385</v>
      </c>
      <c r="F130" s="3"/>
      <c r="G130" s="3"/>
      <c r="H130" s="4" t="s">
        <v>539</v>
      </c>
      <c r="I130" s="24" t="s">
        <v>32</v>
      </c>
      <c r="J130" s="24">
        <v>88</v>
      </c>
      <c r="K130" s="24" t="s">
        <v>184</v>
      </c>
      <c r="L130" s="35">
        <v>20200928</v>
      </c>
      <c r="M130" s="3"/>
      <c r="N130" s="3"/>
      <c r="O130" s="3">
        <v>16.940000000000001</v>
      </c>
      <c r="P130" s="3">
        <v>1.32</v>
      </c>
      <c r="Q130" s="3">
        <v>0.42</v>
      </c>
      <c r="R130" s="3">
        <v>30</v>
      </c>
      <c r="S130" s="3">
        <v>508.3</v>
      </c>
      <c r="T130" s="39">
        <v>24.68198299407959</v>
      </c>
      <c r="U130" s="39">
        <v>25.625954627990723</v>
      </c>
      <c r="V130" s="39">
        <v>23.974641799926758</v>
      </c>
      <c r="W130" s="39">
        <v>25.581871032714844</v>
      </c>
      <c r="X130" s="39">
        <v>23.070409774780273</v>
      </c>
      <c r="Y130" s="39">
        <v>24.61253833770752</v>
      </c>
      <c r="Z130" s="39">
        <v>24.61512279510498</v>
      </c>
      <c r="AA130" s="39">
        <v>25.208174705505371</v>
      </c>
      <c r="AB130" s="39">
        <v>35.85481071472168</v>
      </c>
      <c r="AC130" s="39">
        <v>27.505154609680176</v>
      </c>
      <c r="AD130" s="39">
        <v>31.323773384094238</v>
      </c>
      <c r="AE130" s="39">
        <v>25.7073974609375</v>
      </c>
      <c r="AF130" s="39">
        <v>30.791650772094727</v>
      </c>
      <c r="AG130" s="39">
        <v>25.652019500732422</v>
      </c>
      <c r="AH130" s="39">
        <v>28.365609169006348</v>
      </c>
      <c r="AI130" s="39">
        <v>25.413458824157715</v>
      </c>
      <c r="AJ130" s="39">
        <v>32.115463256835938</v>
      </c>
      <c r="AK130" s="39">
        <v>25.697243690490723</v>
      </c>
      <c r="AL130" s="24" t="s">
        <v>32</v>
      </c>
      <c r="AM130" s="68">
        <f t="shared" si="21"/>
        <v>98.743968148960363</v>
      </c>
      <c r="AP130" s="4" t="s">
        <v>539</v>
      </c>
      <c r="AQ130" s="24" t="s">
        <v>32</v>
      </c>
      <c r="AR130" s="44">
        <f t="shared" si="22"/>
        <v>-0.94397163391113281</v>
      </c>
      <c r="AS130" s="44">
        <f t="shared" si="23"/>
        <v>-1.6072292327880859</v>
      </c>
      <c r="AT130" s="44">
        <f t="shared" si="24"/>
        <v>-1.5421285629272461</v>
      </c>
      <c r="AU130" s="44">
        <f t="shared" si="25"/>
        <v>-0.59305191040039062</v>
      </c>
      <c r="AV130" s="44">
        <f t="shared" si="26"/>
        <v>8.3496561050415039</v>
      </c>
      <c r="AW130" s="44">
        <f t="shared" si="27"/>
        <v>5.6163759231567383</v>
      </c>
      <c r="AX130" s="44">
        <f t="shared" si="28"/>
        <v>5.1396312713623047</v>
      </c>
      <c r="AY130" s="44">
        <f t="shared" si="29"/>
        <v>2.9521503448486328</v>
      </c>
      <c r="AZ130" s="44">
        <f t="shared" si="30"/>
        <v>6.4182195663452148</v>
      </c>
      <c r="BA130" s="44"/>
      <c r="BB130" s="4" t="s">
        <v>539</v>
      </c>
      <c r="BC130" s="24" t="s">
        <v>32</v>
      </c>
      <c r="BD130" s="44" t="e">
        <f>AR130*#REF!</f>
        <v>#REF!</v>
      </c>
      <c r="BE130" s="44" t="e">
        <f>AS130*#REF!</f>
        <v>#REF!</v>
      </c>
      <c r="BF130" s="44" t="e">
        <f>AT130*#REF!</f>
        <v>#REF!</v>
      </c>
      <c r="BG130" s="44" t="e">
        <f>AU130*#REF!</f>
        <v>#REF!</v>
      </c>
      <c r="BH130" s="44" t="e">
        <f>AV130*#REF!</f>
        <v>#REF!</v>
      </c>
      <c r="BI130" s="44" t="e">
        <f>AW130*#REF!</f>
        <v>#REF!</v>
      </c>
      <c r="BJ130" s="44" t="e">
        <f>AX130*#REF!</f>
        <v>#REF!</v>
      </c>
      <c r="BK130" s="44" t="e">
        <f>AY130*#REF!</f>
        <v>#REF!</v>
      </c>
      <c r="BL130" s="44" t="e">
        <f>AZ130*#REF!</f>
        <v>#REF!</v>
      </c>
      <c r="BM130" s="44" t="e">
        <f t="shared" si="31"/>
        <v>#REF!</v>
      </c>
      <c r="BN130" s="83" t="e">
        <f t="shared" si="32"/>
        <v>#REF!</v>
      </c>
      <c r="BP130" s="87">
        <v>98.743968148960363</v>
      </c>
      <c r="BQ130" s="87">
        <v>0.99199962554115784</v>
      </c>
    </row>
    <row r="131" spans="1:69" s="25" customFormat="1" ht="14.5" customHeight="1">
      <c r="A131" s="3" t="s">
        <v>276</v>
      </c>
      <c r="B131" s="3">
        <v>105</v>
      </c>
      <c r="C131" s="21">
        <v>5</v>
      </c>
      <c r="D131" s="26" t="s">
        <v>223</v>
      </c>
      <c r="E131" s="23" t="s">
        <v>386</v>
      </c>
      <c r="F131" s="3"/>
      <c r="G131" s="3"/>
      <c r="H131" s="4" t="s">
        <v>540</v>
      </c>
      <c r="I131" s="24" t="s">
        <v>32</v>
      </c>
      <c r="J131" s="24">
        <v>77</v>
      </c>
      <c r="K131" s="24" t="s">
        <v>118</v>
      </c>
      <c r="L131" s="35">
        <v>20210210</v>
      </c>
      <c r="M131" s="3"/>
      <c r="N131" s="3"/>
      <c r="O131" s="3">
        <v>29.52</v>
      </c>
      <c r="P131" s="3">
        <v>1.39</v>
      </c>
      <c r="Q131" s="3">
        <v>0.45</v>
      </c>
      <c r="R131" s="3">
        <v>30</v>
      </c>
      <c r="S131" s="3">
        <v>885.5</v>
      </c>
      <c r="T131" s="39">
        <v>26.794469833374023</v>
      </c>
      <c r="U131" s="39">
        <v>28.956986427307129</v>
      </c>
      <c r="V131" s="39">
        <v>25.629777908325195</v>
      </c>
      <c r="W131" s="39">
        <v>28.689914703369141</v>
      </c>
      <c r="X131" s="39">
        <v>25.742965698242188</v>
      </c>
      <c r="Y131" s="39">
        <v>28.238533973693848</v>
      </c>
      <c r="Z131" s="39">
        <v>26.034083366394043</v>
      </c>
      <c r="AA131" s="39">
        <v>28.2813720703125</v>
      </c>
      <c r="AB131" s="39">
        <v>36.51641845703125</v>
      </c>
      <c r="AC131" s="39">
        <v>31.331372261047363</v>
      </c>
      <c r="AD131" s="39">
        <v>32.491632461547852</v>
      </c>
      <c r="AE131" s="39">
        <v>29.051383972167969</v>
      </c>
      <c r="AF131" s="39">
        <v>31.351873397827148</v>
      </c>
      <c r="AG131" s="39">
        <v>29.115249633789062</v>
      </c>
      <c r="AH131" s="39">
        <v>29.694162368774414</v>
      </c>
      <c r="AI131" s="39">
        <v>28.572480201721191</v>
      </c>
      <c r="AJ131" s="39">
        <v>31.426122665405273</v>
      </c>
      <c r="AK131" s="39">
        <v>29.100156784057617</v>
      </c>
      <c r="AL131" s="24" t="s">
        <v>32</v>
      </c>
      <c r="AM131" s="68">
        <f t="shared" ref="AM131:AM160" si="33">1/(1+EXP(-(16.9812 +0.5694*(T131-U131) -0.3622*(AB131-AC131)-1.8146*(AF131-AG131)+0.0423*(AJ131-AK131))))*100</f>
        <v>99.995040893026385</v>
      </c>
      <c r="AP131" s="4" t="s">
        <v>540</v>
      </c>
      <c r="AQ131" s="24" t="s">
        <v>32</v>
      </c>
      <c r="AR131" s="44">
        <f t="shared" ref="AR131:AR160" si="34">T131-U131</f>
        <v>-2.1625165939331055</v>
      </c>
      <c r="AS131" s="44">
        <f t="shared" ref="AS131:AS160" si="35">V131-W131</f>
        <v>-3.0601367950439453</v>
      </c>
      <c r="AT131" s="44">
        <f t="shared" ref="AT131:AT160" si="36">X131-Y131</f>
        <v>-2.4955682754516602</v>
      </c>
      <c r="AU131" s="44">
        <f t="shared" ref="AU131:AU160" si="37">Z131-AA131</f>
        <v>-2.247288703918457</v>
      </c>
      <c r="AV131" s="44">
        <f t="shared" ref="AV131:AV160" si="38">AB131-AC131</f>
        <v>5.1850461959838867</v>
      </c>
      <c r="AW131" s="44">
        <f t="shared" ref="AW131:AW160" si="39">AD131-AE131</f>
        <v>3.4402484893798828</v>
      </c>
      <c r="AX131" s="44">
        <f t="shared" ref="AX131:AX160" si="40">AF131-AG131</f>
        <v>2.2366237640380859</v>
      </c>
      <c r="AY131" s="44">
        <f t="shared" ref="AY131:AY160" si="41">AH131-AI131</f>
        <v>1.1216821670532227</v>
      </c>
      <c r="AZ131" s="44">
        <f t="shared" ref="AZ131:AZ160" si="42">AJ131-AK131</f>
        <v>2.3259658813476562</v>
      </c>
      <c r="BA131" s="44"/>
      <c r="BB131" s="4" t="s">
        <v>540</v>
      </c>
      <c r="BC131" s="24" t="s">
        <v>32</v>
      </c>
      <c r="BD131" s="44" t="e">
        <f>AR131*#REF!</f>
        <v>#REF!</v>
      </c>
      <c r="BE131" s="44" t="e">
        <f>AS131*#REF!</f>
        <v>#REF!</v>
      </c>
      <c r="BF131" s="44" t="e">
        <f>AT131*#REF!</f>
        <v>#REF!</v>
      </c>
      <c r="BG131" s="44" t="e">
        <f>AU131*#REF!</f>
        <v>#REF!</v>
      </c>
      <c r="BH131" s="44" t="e">
        <f>AV131*#REF!</f>
        <v>#REF!</v>
      </c>
      <c r="BI131" s="44" t="e">
        <f>AW131*#REF!</f>
        <v>#REF!</v>
      </c>
      <c r="BJ131" s="44" t="e">
        <f>AX131*#REF!</f>
        <v>#REF!</v>
      </c>
      <c r="BK131" s="44" t="e">
        <f>AY131*#REF!</f>
        <v>#REF!</v>
      </c>
      <c r="BL131" s="44" t="e">
        <f>AZ131*#REF!</f>
        <v>#REF!</v>
      </c>
      <c r="BM131" s="44" t="e">
        <f t="shared" ref="BM131:BM160" si="43">SUM(BD131:BL131)+13.0716</f>
        <v>#REF!</v>
      </c>
      <c r="BN131" s="83" t="e">
        <f t="shared" ref="BN131:BN160" si="44">1/(1+EXP(-BM131))</f>
        <v>#REF!</v>
      </c>
      <c r="BP131" s="87">
        <v>99.995040893026385</v>
      </c>
      <c r="BQ131" s="87">
        <v>0.99977219203513112</v>
      </c>
    </row>
    <row r="132" spans="1:69" ht="18">
      <c r="A132" s="1" t="s">
        <v>276</v>
      </c>
      <c r="B132" s="1">
        <v>106</v>
      </c>
      <c r="C132" s="1" t="s">
        <v>224</v>
      </c>
      <c r="D132" s="1" t="s">
        <v>225</v>
      </c>
      <c r="E132" s="20" t="s">
        <v>387</v>
      </c>
      <c r="F132" s="1"/>
      <c r="G132" s="1"/>
      <c r="H132" s="1" t="s">
        <v>424</v>
      </c>
      <c r="I132" s="1" t="s">
        <v>226</v>
      </c>
      <c r="J132" s="1">
        <v>67</v>
      </c>
      <c r="K132" s="1" t="s">
        <v>184</v>
      </c>
      <c r="L132" s="38">
        <v>44134</v>
      </c>
      <c r="M132" s="1"/>
      <c r="N132" s="1"/>
      <c r="O132" s="1">
        <v>44.86</v>
      </c>
      <c r="P132" s="1">
        <v>1.41</v>
      </c>
      <c r="Q132" s="1">
        <v>0.48</v>
      </c>
      <c r="R132" s="1">
        <v>30</v>
      </c>
      <c r="S132" s="1">
        <v>1345.9</v>
      </c>
      <c r="T132" s="40">
        <v>27.99919319152832</v>
      </c>
      <c r="U132" s="40">
        <v>24.934480667114258</v>
      </c>
      <c r="V132" s="40">
        <v>25.466175079345703</v>
      </c>
      <c r="W132" s="40">
        <v>24.921597480773926</v>
      </c>
      <c r="X132" s="40">
        <v>26.453340530395508</v>
      </c>
      <c r="Y132" s="40">
        <v>24.374676704406738</v>
      </c>
      <c r="Z132" s="40">
        <v>24.636750221252441</v>
      </c>
      <c r="AA132" s="40">
        <v>24.627211570739746</v>
      </c>
      <c r="AB132" s="40">
        <v>38.619325637817383</v>
      </c>
      <c r="AC132" s="40">
        <v>26.466981887817383</v>
      </c>
      <c r="AD132" s="40">
        <v>35.757850646972656</v>
      </c>
      <c r="AE132" s="40">
        <v>24.952292442321777</v>
      </c>
      <c r="AF132" s="40">
        <v>33.321714401245117</v>
      </c>
      <c r="AG132" s="40">
        <v>24.908100128173828</v>
      </c>
      <c r="AH132" s="40">
        <v>32.694496154785156</v>
      </c>
      <c r="AI132" s="40">
        <v>24.973536491394043</v>
      </c>
      <c r="AJ132" s="40">
        <v>34.173303604125977</v>
      </c>
      <c r="AK132" s="40">
        <v>24.968091011047363</v>
      </c>
      <c r="AL132" s="1" t="s">
        <v>226</v>
      </c>
      <c r="AM132" s="62">
        <f t="shared" si="33"/>
        <v>36.51001519319032</v>
      </c>
      <c r="AP132" s="1" t="s">
        <v>424</v>
      </c>
      <c r="AQ132" s="1" t="s">
        <v>226</v>
      </c>
      <c r="AR132" s="46">
        <f t="shared" si="34"/>
        <v>3.0647125244140625</v>
      </c>
      <c r="AS132" s="46">
        <f t="shared" si="35"/>
        <v>0.54457759857177734</v>
      </c>
      <c r="AT132" s="46">
        <f t="shared" si="36"/>
        <v>2.0786638259887695</v>
      </c>
      <c r="AU132" s="46">
        <f t="shared" si="37"/>
        <v>9.5386505126953125E-3</v>
      </c>
      <c r="AV132" s="46">
        <f t="shared" si="38"/>
        <v>12.15234375</v>
      </c>
      <c r="AW132" s="46">
        <f t="shared" si="39"/>
        <v>10.805558204650879</v>
      </c>
      <c r="AX132" s="46">
        <f t="shared" si="40"/>
        <v>8.4136142730712891</v>
      </c>
      <c r="AY132" s="46">
        <f t="shared" si="41"/>
        <v>7.7209596633911133</v>
      </c>
      <c r="AZ132" s="46">
        <f t="shared" si="42"/>
        <v>9.2052125930786133</v>
      </c>
      <c r="BA132" s="46"/>
      <c r="BB132" s="1" t="s">
        <v>424</v>
      </c>
      <c r="BC132" s="1" t="s">
        <v>226</v>
      </c>
      <c r="BD132" s="46" t="e">
        <f>AR132*#REF!</f>
        <v>#REF!</v>
      </c>
      <c r="BE132" s="46" t="e">
        <f>AS132*#REF!</f>
        <v>#REF!</v>
      </c>
      <c r="BF132" s="46" t="e">
        <f>AT132*#REF!</f>
        <v>#REF!</v>
      </c>
      <c r="BG132" s="46" t="e">
        <f>AU132*#REF!</f>
        <v>#REF!</v>
      </c>
      <c r="BH132" s="46" t="e">
        <f>AV132*#REF!</f>
        <v>#REF!</v>
      </c>
      <c r="BI132" s="46" t="e">
        <f>AW132*#REF!</f>
        <v>#REF!</v>
      </c>
      <c r="BJ132" s="46" t="e">
        <f>AX132*#REF!</f>
        <v>#REF!</v>
      </c>
      <c r="BK132" s="46" t="e">
        <f>AY132*#REF!</f>
        <v>#REF!</v>
      </c>
      <c r="BL132" s="46" t="e">
        <f>AZ132*#REF!</f>
        <v>#REF!</v>
      </c>
      <c r="BM132" s="46" t="e">
        <f t="shared" si="43"/>
        <v>#REF!</v>
      </c>
      <c r="BN132" s="82" t="e">
        <f t="shared" si="44"/>
        <v>#REF!</v>
      </c>
      <c r="BP132" s="64">
        <v>36.51001519319032</v>
      </c>
      <c r="BQ132" s="64">
        <v>0.18789973878002428</v>
      </c>
    </row>
    <row r="133" spans="1:69" ht="18">
      <c r="A133" s="1" t="s">
        <v>276</v>
      </c>
      <c r="B133" s="1">
        <v>107</v>
      </c>
      <c r="C133" s="1" t="s">
        <v>227</v>
      </c>
      <c r="D133" s="1" t="s">
        <v>228</v>
      </c>
      <c r="E133" s="20" t="s">
        <v>388</v>
      </c>
      <c r="F133" s="1"/>
      <c r="G133" s="1"/>
      <c r="H133" s="1" t="s">
        <v>426</v>
      </c>
      <c r="I133" s="1" t="s">
        <v>226</v>
      </c>
      <c r="J133" s="1">
        <v>72</v>
      </c>
      <c r="K133" s="1" t="s">
        <v>118</v>
      </c>
      <c r="L133" s="38">
        <v>44154</v>
      </c>
      <c r="M133" s="1"/>
      <c r="N133" s="1"/>
      <c r="O133" s="1">
        <v>29.91</v>
      </c>
      <c r="P133" s="1">
        <v>1.37</v>
      </c>
      <c r="Q133" s="1">
        <v>0.45</v>
      </c>
      <c r="R133" s="1">
        <v>30</v>
      </c>
      <c r="S133" s="1">
        <v>897.2</v>
      </c>
      <c r="T133" s="40">
        <v>27.710651397705078</v>
      </c>
      <c r="U133" s="40">
        <v>25.629493713378906</v>
      </c>
      <c r="V133" s="40">
        <v>26.070605278015137</v>
      </c>
      <c r="W133" s="40">
        <v>25.653509140014648</v>
      </c>
      <c r="X133" s="40">
        <v>26.462152481079102</v>
      </c>
      <c r="Y133" s="40">
        <v>24.97696590423584</v>
      </c>
      <c r="Z133" s="40">
        <v>25.554981231689453</v>
      </c>
      <c r="AA133" s="40">
        <v>25.371308326721191</v>
      </c>
      <c r="AB133" s="40">
        <v>38.925382614135742</v>
      </c>
      <c r="AC133" s="40">
        <v>27.463818550109863</v>
      </c>
      <c r="AD133" s="40">
        <v>35.606796264648438</v>
      </c>
      <c r="AE133" s="40">
        <v>25.741019248962402</v>
      </c>
      <c r="AF133" s="40">
        <v>33.984855651855469</v>
      </c>
      <c r="AG133" s="40">
        <v>25.712483406066895</v>
      </c>
      <c r="AH133" s="40">
        <v>32.509134292602539</v>
      </c>
      <c r="AI133" s="40">
        <v>25.811493873596191</v>
      </c>
      <c r="AJ133" s="40">
        <v>34.057765960693359</v>
      </c>
      <c r="AK133" s="40">
        <v>25.767212867736816</v>
      </c>
      <c r="AL133" s="1" t="s">
        <v>226</v>
      </c>
      <c r="AM133" s="62">
        <f t="shared" si="33"/>
        <v>34.399899165721529</v>
      </c>
      <c r="AP133" s="1" t="s">
        <v>426</v>
      </c>
      <c r="AQ133" s="1" t="s">
        <v>226</v>
      </c>
      <c r="AR133" s="46">
        <f t="shared" si="34"/>
        <v>2.0811576843261719</v>
      </c>
      <c r="AS133" s="46">
        <f t="shared" si="35"/>
        <v>0.41709613800048828</v>
      </c>
      <c r="AT133" s="46">
        <f t="shared" si="36"/>
        <v>1.4851865768432617</v>
      </c>
      <c r="AU133" s="46">
        <f t="shared" si="37"/>
        <v>0.18367290496826172</v>
      </c>
      <c r="AV133" s="46">
        <f t="shared" si="38"/>
        <v>11.461564064025879</v>
      </c>
      <c r="AW133" s="46">
        <f t="shared" si="39"/>
        <v>9.8657770156860352</v>
      </c>
      <c r="AX133" s="46">
        <f t="shared" si="40"/>
        <v>8.2723722457885742</v>
      </c>
      <c r="AY133" s="46">
        <f t="shared" si="41"/>
        <v>6.6976404190063477</v>
      </c>
      <c r="AZ133" s="46">
        <f t="shared" si="42"/>
        <v>8.290553092956543</v>
      </c>
      <c r="BA133" s="46"/>
      <c r="BB133" s="1" t="s">
        <v>426</v>
      </c>
      <c r="BC133" s="1" t="s">
        <v>226</v>
      </c>
      <c r="BD133" s="46" t="e">
        <f>AR133*#REF!</f>
        <v>#REF!</v>
      </c>
      <c r="BE133" s="46" t="e">
        <f>AS133*#REF!</f>
        <v>#REF!</v>
      </c>
      <c r="BF133" s="46" t="e">
        <f>AT133*#REF!</f>
        <v>#REF!</v>
      </c>
      <c r="BG133" s="46" t="e">
        <f>AU133*#REF!</f>
        <v>#REF!</v>
      </c>
      <c r="BH133" s="46" t="e">
        <f>AV133*#REF!</f>
        <v>#REF!</v>
      </c>
      <c r="BI133" s="46" t="e">
        <f>AW133*#REF!</f>
        <v>#REF!</v>
      </c>
      <c r="BJ133" s="46" t="e">
        <f>AX133*#REF!</f>
        <v>#REF!</v>
      </c>
      <c r="BK133" s="46" t="e">
        <f>AY133*#REF!</f>
        <v>#REF!</v>
      </c>
      <c r="BL133" s="46" t="e">
        <f>AZ133*#REF!</f>
        <v>#REF!</v>
      </c>
      <c r="BM133" s="46" t="e">
        <f t="shared" si="43"/>
        <v>#REF!</v>
      </c>
      <c r="BN133" s="82" t="e">
        <f t="shared" si="44"/>
        <v>#REF!</v>
      </c>
      <c r="BP133" s="64">
        <v>34.399899165721529</v>
      </c>
      <c r="BQ133" s="64">
        <v>0.3327842585656744</v>
      </c>
    </row>
    <row r="134" spans="1:69" ht="18">
      <c r="A134" s="1" t="s">
        <v>276</v>
      </c>
      <c r="B134" s="1">
        <v>108</v>
      </c>
      <c r="C134" s="1" t="s">
        <v>229</v>
      </c>
      <c r="D134" s="1" t="s">
        <v>230</v>
      </c>
      <c r="E134" s="20" t="s">
        <v>389</v>
      </c>
      <c r="F134" s="1"/>
      <c r="G134" s="1"/>
      <c r="H134" s="1" t="s">
        <v>427</v>
      </c>
      <c r="I134" s="1" t="s">
        <v>226</v>
      </c>
      <c r="J134" s="1">
        <v>56</v>
      </c>
      <c r="K134" s="1" t="s">
        <v>184</v>
      </c>
      <c r="L134" s="38">
        <v>44371</v>
      </c>
      <c r="M134" s="1"/>
      <c r="N134" s="1"/>
      <c r="O134" s="1">
        <v>48.69</v>
      </c>
      <c r="P134" s="1">
        <v>1.42</v>
      </c>
      <c r="Q134" s="1">
        <v>0.5</v>
      </c>
      <c r="R134" s="1">
        <v>30</v>
      </c>
      <c r="S134" s="1">
        <v>1460.6</v>
      </c>
      <c r="T134" s="40">
        <v>23.900424957275391</v>
      </c>
      <c r="U134" s="40">
        <v>23.756128311157227</v>
      </c>
      <c r="V134" s="40">
        <v>23.273733139038086</v>
      </c>
      <c r="W134" s="40">
        <v>23.699470520019531</v>
      </c>
      <c r="X134" s="40">
        <v>24.778034210205078</v>
      </c>
      <c r="Y134" s="40">
        <v>23.145215034484863</v>
      </c>
      <c r="Z134" s="40">
        <v>25.671375274658203</v>
      </c>
      <c r="AA134" s="40">
        <v>23.726280212402344</v>
      </c>
      <c r="AB134" s="40">
        <v>36.978326797485352</v>
      </c>
      <c r="AC134" s="40">
        <v>25.408576965332031</v>
      </c>
      <c r="AD134" s="40">
        <v>31.387290000915527</v>
      </c>
      <c r="AE134" s="40">
        <v>23.843263626098633</v>
      </c>
      <c r="AF134" s="40">
        <v>32.157899856567383</v>
      </c>
      <c r="AG134" s="40">
        <v>23.832247734069824</v>
      </c>
      <c r="AH134" s="40">
        <v>28.429106712341309</v>
      </c>
      <c r="AI134" s="40">
        <v>23.732906341552734</v>
      </c>
      <c r="AJ134" s="40">
        <v>32.316608428955078</v>
      </c>
      <c r="AK134" s="40">
        <v>23.744860649108887</v>
      </c>
      <c r="AL134" s="1" t="s">
        <v>226</v>
      </c>
      <c r="AM134" s="62">
        <f t="shared" si="33"/>
        <v>13.327070168474652</v>
      </c>
      <c r="AP134" s="1" t="s">
        <v>427</v>
      </c>
      <c r="AQ134" s="1" t="s">
        <v>226</v>
      </c>
      <c r="AR134" s="46">
        <f t="shared" si="34"/>
        <v>0.14429664611816406</v>
      </c>
      <c r="AS134" s="46">
        <f t="shared" si="35"/>
        <v>-0.42573738098144531</v>
      </c>
      <c r="AT134" s="46">
        <f t="shared" si="36"/>
        <v>1.6328191757202148</v>
      </c>
      <c r="AU134" s="46">
        <f t="shared" si="37"/>
        <v>1.9450950622558594</v>
      </c>
      <c r="AV134" s="46">
        <f t="shared" si="38"/>
        <v>11.56974983215332</v>
      </c>
      <c r="AW134" s="46">
        <f t="shared" si="39"/>
        <v>7.5440263748168945</v>
      </c>
      <c r="AX134" s="46">
        <f t="shared" si="40"/>
        <v>8.3256521224975586</v>
      </c>
      <c r="AY134" s="46">
        <f t="shared" si="41"/>
        <v>4.6962003707885742</v>
      </c>
      <c r="AZ134" s="46">
        <f t="shared" si="42"/>
        <v>8.5717477798461914</v>
      </c>
      <c r="BA134" s="46"/>
      <c r="BB134" s="1" t="s">
        <v>427</v>
      </c>
      <c r="BC134" s="1" t="s">
        <v>226</v>
      </c>
      <c r="BD134" s="46" t="e">
        <f>AR134*#REF!</f>
        <v>#REF!</v>
      </c>
      <c r="BE134" s="46" t="e">
        <f>AS134*#REF!</f>
        <v>#REF!</v>
      </c>
      <c r="BF134" s="46" t="e">
        <f>AT134*#REF!</f>
        <v>#REF!</v>
      </c>
      <c r="BG134" s="46" t="e">
        <f>AU134*#REF!</f>
        <v>#REF!</v>
      </c>
      <c r="BH134" s="46" t="e">
        <f>AV134*#REF!</f>
        <v>#REF!</v>
      </c>
      <c r="BI134" s="46" t="e">
        <f>AW134*#REF!</f>
        <v>#REF!</v>
      </c>
      <c r="BJ134" s="46" t="e">
        <f>AX134*#REF!</f>
        <v>#REF!</v>
      </c>
      <c r="BK134" s="46" t="e">
        <f>AY134*#REF!</f>
        <v>#REF!</v>
      </c>
      <c r="BL134" s="46" t="e">
        <f>AZ134*#REF!</f>
        <v>#REF!</v>
      </c>
      <c r="BM134" s="46" t="e">
        <f t="shared" si="43"/>
        <v>#REF!</v>
      </c>
      <c r="BN134" s="65" t="e">
        <f t="shared" si="44"/>
        <v>#REF!</v>
      </c>
      <c r="BO134" s="74" t="s">
        <v>548</v>
      </c>
      <c r="BP134" s="64">
        <v>13.327070168474652</v>
      </c>
      <c r="BQ134" s="64">
        <v>0.62195393124824427</v>
      </c>
    </row>
    <row r="135" spans="1:69" ht="18">
      <c r="A135" s="1" t="s">
        <v>276</v>
      </c>
      <c r="B135" s="1">
        <v>109</v>
      </c>
      <c r="C135" s="1" t="s">
        <v>231</v>
      </c>
      <c r="D135" s="1" t="s">
        <v>232</v>
      </c>
      <c r="E135" s="20" t="s">
        <v>390</v>
      </c>
      <c r="F135" s="1"/>
      <c r="G135" s="1"/>
      <c r="H135" s="1" t="s">
        <v>428</v>
      </c>
      <c r="I135" s="1" t="s">
        <v>226</v>
      </c>
      <c r="J135" s="1">
        <v>74</v>
      </c>
      <c r="K135" s="1" t="s">
        <v>184</v>
      </c>
      <c r="L135" s="38">
        <v>44440</v>
      </c>
      <c r="M135" s="1"/>
      <c r="N135" s="1"/>
      <c r="O135" s="1">
        <v>23.8</v>
      </c>
      <c r="P135" s="1">
        <v>1.32</v>
      </c>
      <c r="Q135" s="1">
        <v>0.42</v>
      </c>
      <c r="R135" s="1">
        <v>30</v>
      </c>
      <c r="S135" s="1">
        <v>714.1</v>
      </c>
      <c r="T135" s="40">
        <v>27.935264587402344</v>
      </c>
      <c r="U135" s="40">
        <v>25.565129280090332</v>
      </c>
      <c r="V135" s="40">
        <v>26.684160232543945</v>
      </c>
      <c r="W135" s="40">
        <v>25.506803512573242</v>
      </c>
      <c r="X135" s="40">
        <v>25.912448883056641</v>
      </c>
      <c r="Y135" s="40">
        <v>24.769036293029785</v>
      </c>
      <c r="Z135" s="40">
        <v>26.278644561767578</v>
      </c>
      <c r="AA135" s="40">
        <v>25.427907943725586</v>
      </c>
      <c r="AB135" s="40">
        <v>38.706230163574219</v>
      </c>
      <c r="AC135" s="40">
        <v>27.184864044189453</v>
      </c>
      <c r="AD135" s="40">
        <v>35.940132141113281</v>
      </c>
      <c r="AE135" s="40">
        <v>25.621913909912109</v>
      </c>
      <c r="AF135" s="40">
        <v>34.731561660766602</v>
      </c>
      <c r="AG135" s="40">
        <v>25.595040321350098</v>
      </c>
      <c r="AH135" s="40">
        <v>31.609333992004395</v>
      </c>
      <c r="AI135" s="40">
        <v>25.619454383850098</v>
      </c>
      <c r="AJ135" s="40">
        <v>34.748245239257812</v>
      </c>
      <c r="AK135" s="40">
        <v>25.580392837524414</v>
      </c>
      <c r="AL135" s="1" t="s">
        <v>226</v>
      </c>
      <c r="AM135" s="62">
        <f t="shared" si="33"/>
        <v>11.571846958719158</v>
      </c>
      <c r="AP135" s="1" t="s">
        <v>428</v>
      </c>
      <c r="AQ135" s="1" t="s">
        <v>226</v>
      </c>
      <c r="AR135" s="46">
        <f t="shared" si="34"/>
        <v>2.3701353073120117</v>
      </c>
      <c r="AS135" s="46">
        <f t="shared" si="35"/>
        <v>1.1773567199707031</v>
      </c>
      <c r="AT135" s="46">
        <f t="shared" si="36"/>
        <v>1.1434125900268555</v>
      </c>
      <c r="AU135" s="46">
        <f t="shared" si="37"/>
        <v>0.85073661804199219</v>
      </c>
      <c r="AV135" s="46">
        <f t="shared" si="38"/>
        <v>11.521366119384766</v>
      </c>
      <c r="AW135" s="46">
        <f t="shared" si="39"/>
        <v>10.318218231201172</v>
      </c>
      <c r="AX135" s="46">
        <f t="shared" si="40"/>
        <v>9.1365213394165039</v>
      </c>
      <c r="AY135" s="46">
        <f t="shared" si="41"/>
        <v>5.9898796081542969</v>
      </c>
      <c r="AZ135" s="46">
        <f t="shared" si="42"/>
        <v>9.1678524017333984</v>
      </c>
      <c r="BA135" s="46"/>
      <c r="BB135" s="1" t="s">
        <v>428</v>
      </c>
      <c r="BC135" s="1" t="s">
        <v>226</v>
      </c>
      <c r="BD135" s="46" t="e">
        <f>AR135*#REF!</f>
        <v>#REF!</v>
      </c>
      <c r="BE135" s="46" t="e">
        <f>AS135*#REF!</f>
        <v>#REF!</v>
      </c>
      <c r="BF135" s="46" t="e">
        <f>AT135*#REF!</f>
        <v>#REF!</v>
      </c>
      <c r="BG135" s="46" t="e">
        <f>AU135*#REF!</f>
        <v>#REF!</v>
      </c>
      <c r="BH135" s="46" t="e">
        <f>AV135*#REF!</f>
        <v>#REF!</v>
      </c>
      <c r="BI135" s="46" t="e">
        <f>AW135*#REF!</f>
        <v>#REF!</v>
      </c>
      <c r="BJ135" s="46" t="e">
        <f>AX135*#REF!</f>
        <v>#REF!</v>
      </c>
      <c r="BK135" s="46" t="e">
        <f>AY135*#REF!</f>
        <v>#REF!</v>
      </c>
      <c r="BL135" s="46" t="e">
        <f>AZ135*#REF!</f>
        <v>#REF!</v>
      </c>
      <c r="BM135" s="46" t="e">
        <f t="shared" si="43"/>
        <v>#REF!</v>
      </c>
      <c r="BN135" s="82" t="e">
        <f t="shared" si="44"/>
        <v>#REF!</v>
      </c>
      <c r="BP135" s="64">
        <v>11.571846958719158</v>
      </c>
      <c r="BQ135" s="64">
        <v>0.29012112864203893</v>
      </c>
    </row>
    <row r="136" spans="1:69" ht="18">
      <c r="A136" s="1" t="s">
        <v>276</v>
      </c>
      <c r="B136" s="1">
        <v>110</v>
      </c>
      <c r="C136" s="1" t="s">
        <v>233</v>
      </c>
      <c r="D136" s="1" t="s">
        <v>234</v>
      </c>
      <c r="E136" s="20" t="s">
        <v>391</v>
      </c>
      <c r="F136" s="1"/>
      <c r="G136" s="1"/>
      <c r="H136" s="1" t="s">
        <v>429</v>
      </c>
      <c r="I136" s="1" t="s">
        <v>226</v>
      </c>
      <c r="J136" s="1">
        <v>58</v>
      </c>
      <c r="K136" s="1" t="s">
        <v>184</v>
      </c>
      <c r="L136" s="38">
        <v>44518</v>
      </c>
      <c r="M136" s="1"/>
      <c r="N136" s="1"/>
      <c r="O136" s="1">
        <v>51.1</v>
      </c>
      <c r="P136" s="1">
        <v>1.41</v>
      </c>
      <c r="Q136" s="1">
        <v>0.5</v>
      </c>
      <c r="R136" s="1">
        <v>30</v>
      </c>
      <c r="S136" s="1">
        <v>1533</v>
      </c>
      <c r="T136" s="40">
        <v>28.077183723449707</v>
      </c>
      <c r="U136" s="40">
        <v>25.622065544128418</v>
      </c>
      <c r="V136" s="40">
        <v>26.219075202941895</v>
      </c>
      <c r="W136" s="40">
        <v>25.595159530639648</v>
      </c>
      <c r="X136" s="40">
        <v>26.454635620117188</v>
      </c>
      <c r="Y136" s="40">
        <v>24.940939903259277</v>
      </c>
      <c r="Z136" s="40">
        <v>26.678460121154785</v>
      </c>
      <c r="AA136" s="40">
        <v>25.393081665039062</v>
      </c>
      <c r="AB136" s="40">
        <v>40</v>
      </c>
      <c r="AC136" s="40">
        <v>27.243732452392578</v>
      </c>
      <c r="AD136" s="40">
        <v>36.20014762878418</v>
      </c>
      <c r="AE136" s="40">
        <v>25.661114692687988</v>
      </c>
      <c r="AF136" s="40">
        <v>35.280969619750977</v>
      </c>
      <c r="AG136" s="40">
        <v>25.597918510437012</v>
      </c>
      <c r="AH136" s="40">
        <v>32.858854293823242</v>
      </c>
      <c r="AI136" s="40">
        <v>25.67540168762207</v>
      </c>
      <c r="AJ136" s="40">
        <v>34.739358901977539</v>
      </c>
      <c r="AK136" s="40">
        <v>25.705648422241211</v>
      </c>
      <c r="AL136" s="1" t="s">
        <v>226</v>
      </c>
      <c r="AM136" s="62">
        <f t="shared" si="33"/>
        <v>3.1373533337567712</v>
      </c>
      <c r="AP136" s="1" t="s">
        <v>429</v>
      </c>
      <c r="AQ136" s="1" t="s">
        <v>226</v>
      </c>
      <c r="AR136" s="46">
        <f t="shared" si="34"/>
        <v>2.4551181793212891</v>
      </c>
      <c r="AS136" s="46">
        <f t="shared" si="35"/>
        <v>0.62391567230224609</v>
      </c>
      <c r="AT136" s="46">
        <f t="shared" si="36"/>
        <v>1.5136957168579102</v>
      </c>
      <c r="AU136" s="46">
        <f t="shared" si="37"/>
        <v>1.2853784561157227</v>
      </c>
      <c r="AV136" s="46">
        <f t="shared" si="38"/>
        <v>12.756267547607422</v>
      </c>
      <c r="AW136" s="46">
        <f t="shared" si="39"/>
        <v>10.539032936096191</v>
      </c>
      <c r="AX136" s="46">
        <f t="shared" si="40"/>
        <v>9.6830511093139648</v>
      </c>
      <c r="AY136" s="46">
        <f t="shared" si="41"/>
        <v>7.1834526062011719</v>
      </c>
      <c r="AZ136" s="46">
        <f t="shared" si="42"/>
        <v>9.0337104797363281</v>
      </c>
      <c r="BA136" s="46"/>
      <c r="BB136" s="1" t="s">
        <v>429</v>
      </c>
      <c r="BC136" s="1" t="s">
        <v>226</v>
      </c>
      <c r="BD136" s="46" t="e">
        <f>AR136*#REF!</f>
        <v>#REF!</v>
      </c>
      <c r="BE136" s="46" t="e">
        <f>AS136*#REF!</f>
        <v>#REF!</v>
      </c>
      <c r="BF136" s="46" t="e">
        <f>AT136*#REF!</f>
        <v>#REF!</v>
      </c>
      <c r="BG136" s="46" t="e">
        <f>AU136*#REF!</f>
        <v>#REF!</v>
      </c>
      <c r="BH136" s="46" t="e">
        <f>AV136*#REF!</f>
        <v>#REF!</v>
      </c>
      <c r="BI136" s="46" t="e">
        <f>AW136*#REF!</f>
        <v>#REF!</v>
      </c>
      <c r="BJ136" s="46" t="e">
        <f>AX136*#REF!</f>
        <v>#REF!</v>
      </c>
      <c r="BK136" s="46" t="e">
        <f>AY136*#REF!</f>
        <v>#REF!</v>
      </c>
      <c r="BL136" s="46" t="e">
        <f>AZ136*#REF!</f>
        <v>#REF!</v>
      </c>
      <c r="BM136" s="46" t="e">
        <f t="shared" si="43"/>
        <v>#REF!</v>
      </c>
      <c r="BN136" s="82" t="e">
        <f t="shared" si="44"/>
        <v>#REF!</v>
      </c>
      <c r="BP136" s="64">
        <v>3.1373533337567712</v>
      </c>
      <c r="BQ136" s="64">
        <v>0.10965988678505315</v>
      </c>
    </row>
    <row r="137" spans="1:69" ht="18">
      <c r="A137" s="1" t="s">
        <v>276</v>
      </c>
      <c r="B137" s="1">
        <v>111</v>
      </c>
      <c r="C137" s="1" t="s">
        <v>235</v>
      </c>
      <c r="D137" s="1" t="s">
        <v>236</v>
      </c>
      <c r="E137" s="20" t="s">
        <v>392</v>
      </c>
      <c r="F137" s="1"/>
      <c r="G137" s="1"/>
      <c r="H137" s="1" t="s">
        <v>430</v>
      </c>
      <c r="I137" s="1" t="s">
        <v>226</v>
      </c>
      <c r="J137" s="1">
        <v>68</v>
      </c>
      <c r="K137" s="1" t="s">
        <v>184</v>
      </c>
      <c r="L137" s="38">
        <v>45190</v>
      </c>
      <c r="M137" s="1"/>
      <c r="N137" s="1"/>
      <c r="O137" s="1">
        <v>30.75</v>
      </c>
      <c r="P137" s="1">
        <v>1.37</v>
      </c>
      <c r="Q137" s="1">
        <v>0.43</v>
      </c>
      <c r="R137" s="1">
        <v>30</v>
      </c>
      <c r="S137" s="1">
        <v>922.6</v>
      </c>
      <c r="T137" s="41">
        <v>28.049845695495605</v>
      </c>
      <c r="U137" s="42">
        <v>25.376493453979492</v>
      </c>
      <c r="V137" s="42">
        <v>26.552714347839355</v>
      </c>
      <c r="W137" s="42">
        <v>25.345427513122559</v>
      </c>
      <c r="X137" s="42">
        <v>26.345987319946289</v>
      </c>
      <c r="Y137" s="42">
        <v>24.719074249267578</v>
      </c>
      <c r="Z137" s="42">
        <v>25.645350456237793</v>
      </c>
      <c r="AA137" s="42">
        <v>25.090306282043457</v>
      </c>
      <c r="AB137" s="42">
        <v>39.171236038208008</v>
      </c>
      <c r="AC137" s="42">
        <v>27.153388023376465</v>
      </c>
      <c r="AD137" s="42">
        <v>36.627616882324219</v>
      </c>
      <c r="AE137" s="42">
        <v>25.392183303833008</v>
      </c>
      <c r="AF137" s="42">
        <v>33.611427307128906</v>
      </c>
      <c r="AG137" s="42">
        <v>25.318802833557129</v>
      </c>
      <c r="AH137" s="42">
        <v>32.741039276123047</v>
      </c>
      <c r="AI137" s="42">
        <v>25.539905548095703</v>
      </c>
      <c r="AJ137" s="43">
        <v>35.30735969543457</v>
      </c>
      <c r="AK137" s="43">
        <v>25.37672233581543</v>
      </c>
      <c r="AL137" s="1" t="s">
        <v>226</v>
      </c>
      <c r="AM137" s="62">
        <f t="shared" si="33"/>
        <v>38.29163117162517</v>
      </c>
      <c r="AP137" s="1" t="s">
        <v>430</v>
      </c>
      <c r="AQ137" s="1" t="s">
        <v>226</v>
      </c>
      <c r="AR137" s="46">
        <f t="shared" si="34"/>
        <v>2.6733522415161133</v>
      </c>
      <c r="AS137" s="46">
        <f t="shared" si="35"/>
        <v>1.2072868347167969</v>
      </c>
      <c r="AT137" s="46">
        <f t="shared" si="36"/>
        <v>1.6269130706787109</v>
      </c>
      <c r="AU137" s="46">
        <f t="shared" si="37"/>
        <v>0.55504417419433594</v>
      </c>
      <c r="AV137" s="46">
        <f t="shared" si="38"/>
        <v>12.017848014831543</v>
      </c>
      <c r="AW137" s="46">
        <f t="shared" si="39"/>
        <v>11.235433578491211</v>
      </c>
      <c r="AX137" s="46">
        <f t="shared" si="40"/>
        <v>8.2926244735717773</v>
      </c>
      <c r="AY137" s="46">
        <f t="shared" si="41"/>
        <v>7.2011337280273438</v>
      </c>
      <c r="AZ137" s="46">
        <f t="shared" si="42"/>
        <v>9.9306373596191406</v>
      </c>
      <c r="BA137" s="46"/>
      <c r="BB137" s="1" t="s">
        <v>430</v>
      </c>
      <c r="BC137" s="1" t="s">
        <v>226</v>
      </c>
      <c r="BD137" s="46" t="e">
        <f>AR137*#REF!</f>
        <v>#REF!</v>
      </c>
      <c r="BE137" s="46" t="e">
        <f>AS137*#REF!</f>
        <v>#REF!</v>
      </c>
      <c r="BF137" s="46" t="e">
        <f>AT137*#REF!</f>
        <v>#REF!</v>
      </c>
      <c r="BG137" s="46" t="e">
        <f>AU137*#REF!</f>
        <v>#REF!</v>
      </c>
      <c r="BH137" s="46" t="e">
        <f>AV137*#REF!</f>
        <v>#REF!</v>
      </c>
      <c r="BI137" s="46" t="e">
        <f>AW137*#REF!</f>
        <v>#REF!</v>
      </c>
      <c r="BJ137" s="46" t="e">
        <f>AX137*#REF!</f>
        <v>#REF!</v>
      </c>
      <c r="BK137" s="46" t="e">
        <f>AY137*#REF!</f>
        <v>#REF!</v>
      </c>
      <c r="BL137" s="46" t="e">
        <f>AZ137*#REF!</f>
        <v>#REF!</v>
      </c>
      <c r="BM137" s="46" t="e">
        <f t="shared" si="43"/>
        <v>#REF!</v>
      </c>
      <c r="BN137" s="82" t="e">
        <f t="shared" si="44"/>
        <v>#REF!</v>
      </c>
      <c r="BP137" s="64">
        <v>38.29163117162517</v>
      </c>
      <c r="BQ137" s="64">
        <v>0.29434695161628122</v>
      </c>
    </row>
    <row r="138" spans="1:69" ht="18">
      <c r="A138" s="1" t="s">
        <v>276</v>
      </c>
      <c r="B138" s="1">
        <v>112</v>
      </c>
      <c r="C138" s="1" t="s">
        <v>237</v>
      </c>
      <c r="D138" s="1" t="s">
        <v>238</v>
      </c>
      <c r="E138" s="20" t="s">
        <v>393</v>
      </c>
      <c r="F138" s="1"/>
      <c r="G138" s="1"/>
      <c r="H138" s="1" t="s">
        <v>431</v>
      </c>
      <c r="I138" s="1" t="s">
        <v>226</v>
      </c>
      <c r="J138" s="7" t="s">
        <v>239</v>
      </c>
      <c r="K138" s="7" t="s">
        <v>118</v>
      </c>
      <c r="L138" s="38" t="s">
        <v>240</v>
      </c>
      <c r="M138" s="1"/>
      <c r="N138" s="1"/>
      <c r="O138" s="1">
        <v>39.22</v>
      </c>
      <c r="P138" s="1">
        <v>1.39</v>
      </c>
      <c r="Q138" s="1">
        <v>0.47</v>
      </c>
      <c r="R138" s="1">
        <v>30</v>
      </c>
      <c r="S138" s="1">
        <v>1176.5</v>
      </c>
      <c r="T138" s="41">
        <v>27.554132461547852</v>
      </c>
      <c r="U138" s="42">
        <v>25.804936408996582</v>
      </c>
      <c r="V138" s="42">
        <v>26.847853660583496</v>
      </c>
      <c r="W138" s="42">
        <v>25.608665466308594</v>
      </c>
      <c r="X138" s="42">
        <v>26.621423721313477</v>
      </c>
      <c r="Y138" s="42">
        <v>25.068411827087402</v>
      </c>
      <c r="Z138" s="42">
        <v>26.339818954467773</v>
      </c>
      <c r="AA138" s="42">
        <v>25.571425437927246</v>
      </c>
      <c r="AB138" s="42">
        <v>39.380033493041992</v>
      </c>
      <c r="AC138" s="42">
        <v>27.737407684326172</v>
      </c>
      <c r="AD138" s="42">
        <v>36.23760986328125</v>
      </c>
      <c r="AE138" s="42">
        <v>25.797975540161133</v>
      </c>
      <c r="AF138" s="42">
        <v>34.309125900268555</v>
      </c>
      <c r="AG138" s="42">
        <v>25.951647758483887</v>
      </c>
      <c r="AH138" s="42">
        <v>31.916044235229492</v>
      </c>
      <c r="AI138" s="42">
        <v>25.963852882385254</v>
      </c>
      <c r="AJ138" s="43">
        <v>35.746992111206055</v>
      </c>
      <c r="AK138" s="43">
        <v>25.837514877319336</v>
      </c>
      <c r="AL138" s="1" t="s">
        <v>226</v>
      </c>
      <c r="AM138" s="62">
        <f t="shared" si="33"/>
        <v>27.168788009543128</v>
      </c>
      <c r="AP138" s="1" t="s">
        <v>431</v>
      </c>
      <c r="AQ138" s="1" t="s">
        <v>226</v>
      </c>
      <c r="AR138" s="46">
        <f t="shared" si="34"/>
        <v>1.7491960525512695</v>
      </c>
      <c r="AS138" s="46">
        <f t="shared" si="35"/>
        <v>1.2391881942749023</v>
      </c>
      <c r="AT138" s="46">
        <f t="shared" si="36"/>
        <v>1.5530118942260742</v>
      </c>
      <c r="AU138" s="46">
        <f t="shared" si="37"/>
        <v>0.76839351654052734</v>
      </c>
      <c r="AV138" s="46">
        <f t="shared" si="38"/>
        <v>11.64262580871582</v>
      </c>
      <c r="AW138" s="46">
        <f t="shared" si="39"/>
        <v>10.439634323120117</v>
      </c>
      <c r="AX138" s="46">
        <f t="shared" si="40"/>
        <v>8.357478141784668</v>
      </c>
      <c r="AY138" s="46">
        <f t="shared" si="41"/>
        <v>5.9521913528442383</v>
      </c>
      <c r="AZ138" s="46">
        <f t="shared" si="42"/>
        <v>9.9094772338867188</v>
      </c>
      <c r="BA138" s="46"/>
      <c r="BB138" s="1" t="s">
        <v>431</v>
      </c>
      <c r="BC138" s="1" t="s">
        <v>226</v>
      </c>
      <c r="BD138" s="46" t="e">
        <f>AR138*#REF!</f>
        <v>#REF!</v>
      </c>
      <c r="BE138" s="46" t="e">
        <f>AS138*#REF!</f>
        <v>#REF!</v>
      </c>
      <c r="BF138" s="46" t="e">
        <f>AT138*#REF!</f>
        <v>#REF!</v>
      </c>
      <c r="BG138" s="46" t="e">
        <f>AU138*#REF!</f>
        <v>#REF!</v>
      </c>
      <c r="BH138" s="46" t="e">
        <f>AV138*#REF!</f>
        <v>#REF!</v>
      </c>
      <c r="BI138" s="46" t="e">
        <f>AW138*#REF!</f>
        <v>#REF!</v>
      </c>
      <c r="BJ138" s="46" t="e">
        <f>AX138*#REF!</f>
        <v>#REF!</v>
      </c>
      <c r="BK138" s="46" t="e">
        <f>AY138*#REF!</f>
        <v>#REF!</v>
      </c>
      <c r="BL138" s="46" t="e">
        <f>AZ138*#REF!</f>
        <v>#REF!</v>
      </c>
      <c r="BM138" s="46" t="e">
        <f t="shared" si="43"/>
        <v>#REF!</v>
      </c>
      <c r="BN138" s="82" t="e">
        <f t="shared" si="44"/>
        <v>#REF!</v>
      </c>
      <c r="BP138" s="64">
        <v>27.168788009543128</v>
      </c>
      <c r="BQ138" s="64">
        <v>0.40151216421476649</v>
      </c>
    </row>
    <row r="139" spans="1:69" ht="18">
      <c r="A139" s="1" t="s">
        <v>276</v>
      </c>
      <c r="B139" s="1">
        <v>113</v>
      </c>
      <c r="C139" s="1" t="s">
        <v>241</v>
      </c>
      <c r="D139" s="1" t="s">
        <v>238</v>
      </c>
      <c r="E139" s="20" t="s">
        <v>393</v>
      </c>
      <c r="F139" s="1"/>
      <c r="G139" s="1"/>
      <c r="H139" s="1" t="s">
        <v>432</v>
      </c>
      <c r="I139" s="1" t="s">
        <v>226</v>
      </c>
      <c r="J139" s="7" t="s">
        <v>239</v>
      </c>
      <c r="K139" s="7" t="s">
        <v>118</v>
      </c>
      <c r="L139" s="38" t="s">
        <v>240</v>
      </c>
      <c r="M139" s="1"/>
      <c r="N139" s="1"/>
      <c r="O139" s="1">
        <v>19.04</v>
      </c>
      <c r="P139" s="1">
        <v>1.32</v>
      </c>
      <c r="Q139" s="1">
        <v>0.43</v>
      </c>
      <c r="R139" s="1">
        <v>30</v>
      </c>
      <c r="S139" s="1">
        <v>571.20000000000005</v>
      </c>
      <c r="T139" s="41">
        <v>27.911803245544434</v>
      </c>
      <c r="U139" s="42">
        <v>25.888672828674316</v>
      </c>
      <c r="V139" s="42">
        <v>26.202402114868164</v>
      </c>
      <c r="W139" s="42">
        <v>25.932476043701172</v>
      </c>
      <c r="X139" s="42">
        <v>26.875400543212891</v>
      </c>
      <c r="Y139" s="42">
        <v>25.277359008789062</v>
      </c>
      <c r="Z139" s="42">
        <v>26.599519729614258</v>
      </c>
      <c r="AA139" s="42">
        <v>25.795326232910156</v>
      </c>
      <c r="AB139" s="42">
        <v>39.671854019165039</v>
      </c>
      <c r="AC139" s="42">
        <v>27.854128837585449</v>
      </c>
      <c r="AD139" s="42">
        <v>36.483285903930664</v>
      </c>
      <c r="AE139" s="42">
        <v>25.989492416381836</v>
      </c>
      <c r="AF139" s="42">
        <v>34.621383666992188</v>
      </c>
      <c r="AG139" s="42">
        <v>25.961677551269531</v>
      </c>
      <c r="AH139" s="42">
        <v>32.299598693847656</v>
      </c>
      <c r="AI139" s="42">
        <v>26.02918815612793</v>
      </c>
      <c r="AJ139" s="43">
        <v>35.115007400512695</v>
      </c>
      <c r="AK139" s="43">
        <v>25.737720489501953</v>
      </c>
      <c r="AL139" s="1" t="s">
        <v>226</v>
      </c>
      <c r="AM139" s="62">
        <f t="shared" si="33"/>
        <v>18.778718250550501</v>
      </c>
      <c r="AP139" s="1" t="s">
        <v>432</v>
      </c>
      <c r="AQ139" s="1" t="s">
        <v>226</v>
      </c>
      <c r="AR139" s="46">
        <f t="shared" si="34"/>
        <v>2.0231304168701172</v>
      </c>
      <c r="AS139" s="46">
        <f t="shared" si="35"/>
        <v>0.26992607116699219</v>
      </c>
      <c r="AT139" s="46">
        <f t="shared" si="36"/>
        <v>1.5980415344238281</v>
      </c>
      <c r="AU139" s="46">
        <f t="shared" si="37"/>
        <v>0.80419349670410156</v>
      </c>
      <c r="AV139" s="46">
        <f t="shared" si="38"/>
        <v>11.81772518157959</v>
      </c>
      <c r="AW139" s="46">
        <f t="shared" si="39"/>
        <v>10.493793487548828</v>
      </c>
      <c r="AX139" s="46">
        <f t="shared" si="40"/>
        <v>8.6597061157226562</v>
      </c>
      <c r="AY139" s="46">
        <f t="shared" si="41"/>
        <v>6.2704105377197266</v>
      </c>
      <c r="AZ139" s="46">
        <f t="shared" si="42"/>
        <v>9.3772869110107422</v>
      </c>
      <c r="BA139" s="46"/>
      <c r="BB139" s="1" t="s">
        <v>432</v>
      </c>
      <c r="BC139" s="1" t="s">
        <v>226</v>
      </c>
      <c r="BD139" s="46" t="e">
        <f>AR139*#REF!</f>
        <v>#REF!</v>
      </c>
      <c r="BE139" s="46" t="e">
        <f>AS139*#REF!</f>
        <v>#REF!</v>
      </c>
      <c r="BF139" s="46" t="e">
        <f>AT139*#REF!</f>
        <v>#REF!</v>
      </c>
      <c r="BG139" s="46" t="e">
        <f>AU139*#REF!</f>
        <v>#REF!</v>
      </c>
      <c r="BH139" s="46" t="e">
        <f>AV139*#REF!</f>
        <v>#REF!</v>
      </c>
      <c r="BI139" s="46" t="e">
        <f>AW139*#REF!</f>
        <v>#REF!</v>
      </c>
      <c r="BJ139" s="46" t="e">
        <f>AX139*#REF!</f>
        <v>#REF!</v>
      </c>
      <c r="BK139" s="46" t="e">
        <f>AY139*#REF!</f>
        <v>#REF!</v>
      </c>
      <c r="BL139" s="46" t="e">
        <f>AZ139*#REF!</f>
        <v>#REF!</v>
      </c>
      <c r="BM139" s="46" t="e">
        <f t="shared" si="43"/>
        <v>#REF!</v>
      </c>
      <c r="BN139" s="82" t="e">
        <f t="shared" si="44"/>
        <v>#REF!</v>
      </c>
      <c r="BP139" s="64">
        <v>18.778718250550501</v>
      </c>
      <c r="BQ139" s="64">
        <v>0.31737135614921891</v>
      </c>
    </row>
    <row r="140" spans="1:69" ht="18">
      <c r="A140" s="1" t="s">
        <v>276</v>
      </c>
      <c r="B140" s="1">
        <v>114</v>
      </c>
      <c r="C140" s="1" t="s">
        <v>242</v>
      </c>
      <c r="D140" s="1" t="s">
        <v>243</v>
      </c>
      <c r="E140" s="20" t="s">
        <v>394</v>
      </c>
      <c r="F140" s="1"/>
      <c r="G140" s="1"/>
      <c r="H140" s="1" t="s">
        <v>433</v>
      </c>
      <c r="I140" s="1" t="s">
        <v>226</v>
      </c>
      <c r="J140" s="7" t="s">
        <v>244</v>
      </c>
      <c r="K140" s="7" t="s">
        <v>118</v>
      </c>
      <c r="L140" s="38" t="s">
        <v>245</v>
      </c>
      <c r="M140" s="1"/>
      <c r="N140" s="1"/>
      <c r="O140" s="1">
        <v>18.760000000000002</v>
      </c>
      <c r="P140" s="1">
        <v>1.33</v>
      </c>
      <c r="Q140" s="1">
        <v>0.43</v>
      </c>
      <c r="R140" s="1">
        <v>30</v>
      </c>
      <c r="S140" s="1">
        <v>562.79999999999995</v>
      </c>
      <c r="T140" s="41">
        <v>26.525813102722168</v>
      </c>
      <c r="U140" s="42">
        <v>25.716724395751953</v>
      </c>
      <c r="V140" s="42">
        <v>25.896806716918945</v>
      </c>
      <c r="W140" s="42">
        <v>25.724444389343262</v>
      </c>
      <c r="X140" s="42">
        <v>26.811049461364746</v>
      </c>
      <c r="Y140" s="42">
        <v>25.05180549621582</v>
      </c>
      <c r="Z140" s="42">
        <v>26.223611831665039</v>
      </c>
      <c r="AA140" s="42">
        <v>25.370951652526855</v>
      </c>
      <c r="AB140" s="42">
        <v>39.334417343139648</v>
      </c>
      <c r="AC140" s="42">
        <v>27.559914588928223</v>
      </c>
      <c r="AD140" s="42">
        <v>34.462848663330078</v>
      </c>
      <c r="AE140" s="42">
        <v>25.774468421936035</v>
      </c>
      <c r="AF140" s="42">
        <v>35.090848922729492</v>
      </c>
      <c r="AG140" s="42">
        <v>25.818415641784668</v>
      </c>
      <c r="AH140" s="42">
        <v>31.303956985473633</v>
      </c>
      <c r="AI140" s="42">
        <v>25.784807205200195</v>
      </c>
      <c r="AJ140" s="43">
        <v>35.111183166503906</v>
      </c>
      <c r="AK140" s="43">
        <v>25.606204032897949</v>
      </c>
      <c r="AL140" s="1" t="s">
        <v>226</v>
      </c>
      <c r="AM140" s="62">
        <f t="shared" si="33"/>
        <v>3.7451899779128586</v>
      </c>
      <c r="AP140" s="1" t="s">
        <v>433</v>
      </c>
      <c r="AQ140" s="1" t="s">
        <v>226</v>
      </c>
      <c r="AR140" s="46">
        <f t="shared" si="34"/>
        <v>0.80908870697021484</v>
      </c>
      <c r="AS140" s="46">
        <f t="shared" si="35"/>
        <v>0.17236232757568359</v>
      </c>
      <c r="AT140" s="46">
        <f t="shared" si="36"/>
        <v>1.7592439651489258</v>
      </c>
      <c r="AU140" s="46">
        <f t="shared" si="37"/>
        <v>0.85266017913818359</v>
      </c>
      <c r="AV140" s="46">
        <f t="shared" si="38"/>
        <v>11.774502754211426</v>
      </c>
      <c r="AW140" s="46">
        <f t="shared" si="39"/>
        <v>8.688380241394043</v>
      </c>
      <c r="AX140" s="46">
        <f t="shared" si="40"/>
        <v>9.2724332809448242</v>
      </c>
      <c r="AY140" s="46">
        <f t="shared" si="41"/>
        <v>5.5191497802734375</v>
      </c>
      <c r="AZ140" s="46">
        <f t="shared" si="42"/>
        <v>9.504979133605957</v>
      </c>
      <c r="BA140" s="46"/>
      <c r="BB140" s="1" t="s">
        <v>433</v>
      </c>
      <c r="BC140" s="1" t="s">
        <v>226</v>
      </c>
      <c r="BD140" s="46" t="e">
        <f>AR140*#REF!</f>
        <v>#REF!</v>
      </c>
      <c r="BE140" s="46" t="e">
        <f>AS140*#REF!</f>
        <v>#REF!</v>
      </c>
      <c r="BF140" s="46" t="e">
        <f>AT140*#REF!</f>
        <v>#REF!</v>
      </c>
      <c r="BG140" s="46" t="e">
        <f>AU140*#REF!</f>
        <v>#REF!</v>
      </c>
      <c r="BH140" s="46" t="e">
        <f>AV140*#REF!</f>
        <v>#REF!</v>
      </c>
      <c r="BI140" s="46" t="e">
        <f>AW140*#REF!</f>
        <v>#REF!</v>
      </c>
      <c r="BJ140" s="46" t="e">
        <f>AX140*#REF!</f>
        <v>#REF!</v>
      </c>
      <c r="BK140" s="46" t="e">
        <f>AY140*#REF!</f>
        <v>#REF!</v>
      </c>
      <c r="BL140" s="46" t="e">
        <f>AZ140*#REF!</f>
        <v>#REF!</v>
      </c>
      <c r="BM140" s="46" t="e">
        <f t="shared" si="43"/>
        <v>#REF!</v>
      </c>
      <c r="BN140" s="82" t="e">
        <f t="shared" si="44"/>
        <v>#REF!</v>
      </c>
      <c r="BP140" s="64">
        <v>3.7451899779128586</v>
      </c>
      <c r="BQ140" s="64">
        <v>0.25648905336665523</v>
      </c>
    </row>
    <row r="141" spans="1:69" ht="18">
      <c r="A141" s="1" t="s">
        <v>276</v>
      </c>
      <c r="B141" s="1">
        <v>115</v>
      </c>
      <c r="C141" s="1" t="s">
        <v>246</v>
      </c>
      <c r="D141" s="1" t="s">
        <v>243</v>
      </c>
      <c r="E141" s="20" t="s">
        <v>394</v>
      </c>
      <c r="F141" s="1"/>
      <c r="G141" s="1"/>
      <c r="H141" s="1" t="s">
        <v>434</v>
      </c>
      <c r="I141" s="1" t="s">
        <v>226</v>
      </c>
      <c r="J141" s="7" t="s">
        <v>244</v>
      </c>
      <c r="K141" s="7" t="s">
        <v>118</v>
      </c>
      <c r="L141" s="38" t="s">
        <v>245</v>
      </c>
      <c r="M141" s="1"/>
      <c r="N141" s="1"/>
      <c r="O141" s="1">
        <v>20.7</v>
      </c>
      <c r="P141" s="1">
        <v>1.31</v>
      </c>
      <c r="Q141" s="1">
        <v>0.41</v>
      </c>
      <c r="R141" s="1">
        <v>30</v>
      </c>
      <c r="S141" s="1">
        <v>621</v>
      </c>
      <c r="T141" s="41">
        <v>28.168785095214844</v>
      </c>
      <c r="U141" s="42">
        <v>25.765518188476562</v>
      </c>
      <c r="V141" s="42">
        <v>25.766737937927246</v>
      </c>
      <c r="W141" s="42">
        <v>25.832306861877441</v>
      </c>
      <c r="X141" s="42">
        <v>26.696047782897949</v>
      </c>
      <c r="Y141" s="42">
        <v>25.083930969238281</v>
      </c>
      <c r="Z141" s="42">
        <v>26.489494323730469</v>
      </c>
      <c r="AA141" s="42">
        <v>25.571351051330566</v>
      </c>
      <c r="AB141" s="42">
        <v>40</v>
      </c>
      <c r="AC141" s="42">
        <v>27.561010360717773</v>
      </c>
      <c r="AD141" s="42">
        <v>37.536626815795898</v>
      </c>
      <c r="AE141" s="42">
        <v>25.945954322814941</v>
      </c>
      <c r="AF141" s="42">
        <v>34.699594497680664</v>
      </c>
      <c r="AG141" s="42">
        <v>25.802404403686523</v>
      </c>
      <c r="AH141" s="42">
        <v>32.652362823486328</v>
      </c>
      <c r="AI141" s="42">
        <v>25.968847274780273</v>
      </c>
      <c r="AJ141" s="43">
        <v>36.043909072875977</v>
      </c>
      <c r="AK141" s="43">
        <v>25.975388526916504</v>
      </c>
      <c r="AL141" s="1" t="s">
        <v>226</v>
      </c>
      <c r="AM141" s="62">
        <f t="shared" si="33"/>
        <v>13.299599327518857</v>
      </c>
      <c r="AP141" s="1" t="s">
        <v>434</v>
      </c>
      <c r="AQ141" s="1" t="s">
        <v>226</v>
      </c>
      <c r="AR141" s="46">
        <f t="shared" si="34"/>
        <v>2.4032669067382812</v>
      </c>
      <c r="AS141" s="46">
        <f t="shared" si="35"/>
        <v>-6.5568923950195312E-2</v>
      </c>
      <c r="AT141" s="46">
        <f t="shared" si="36"/>
        <v>1.612116813659668</v>
      </c>
      <c r="AU141" s="46">
        <f t="shared" si="37"/>
        <v>0.91814327239990234</v>
      </c>
      <c r="AV141" s="46">
        <f t="shared" si="38"/>
        <v>12.438989639282227</v>
      </c>
      <c r="AW141" s="46">
        <f t="shared" si="39"/>
        <v>11.590672492980957</v>
      </c>
      <c r="AX141" s="46">
        <f t="shared" si="40"/>
        <v>8.8971900939941406</v>
      </c>
      <c r="AY141" s="46">
        <f t="shared" si="41"/>
        <v>6.6835155487060547</v>
      </c>
      <c r="AZ141" s="46">
        <f t="shared" si="42"/>
        <v>10.068520545959473</v>
      </c>
      <c r="BA141" s="46"/>
      <c r="BB141" s="1" t="s">
        <v>434</v>
      </c>
      <c r="BC141" s="1" t="s">
        <v>226</v>
      </c>
      <c r="BD141" s="46" t="e">
        <f>AR141*#REF!</f>
        <v>#REF!</v>
      </c>
      <c r="BE141" s="46" t="e">
        <f>AS141*#REF!</f>
        <v>#REF!</v>
      </c>
      <c r="BF141" s="46" t="e">
        <f>AT141*#REF!</f>
        <v>#REF!</v>
      </c>
      <c r="BG141" s="46" t="e">
        <f>AU141*#REF!</f>
        <v>#REF!</v>
      </c>
      <c r="BH141" s="46" t="e">
        <f>AV141*#REF!</f>
        <v>#REF!</v>
      </c>
      <c r="BI141" s="46" t="e">
        <f>AW141*#REF!</f>
        <v>#REF!</v>
      </c>
      <c r="BJ141" s="46" t="e">
        <f>AX141*#REF!</f>
        <v>#REF!</v>
      </c>
      <c r="BK141" s="46" t="e">
        <f>AY141*#REF!</f>
        <v>#REF!</v>
      </c>
      <c r="BL141" s="46" t="e">
        <f>AZ141*#REF!</f>
        <v>#REF!</v>
      </c>
      <c r="BM141" s="46" t="e">
        <f t="shared" si="43"/>
        <v>#REF!</v>
      </c>
      <c r="BN141" s="82" t="e">
        <f t="shared" si="44"/>
        <v>#REF!</v>
      </c>
      <c r="BP141" s="64">
        <v>13.299599327518857</v>
      </c>
      <c r="BQ141" s="64">
        <v>0.22544232197688865</v>
      </c>
    </row>
    <row r="142" spans="1:69" ht="18">
      <c r="A142" s="1" t="s">
        <v>276</v>
      </c>
      <c r="B142" s="1">
        <v>116</v>
      </c>
      <c r="C142" s="1" t="s">
        <v>247</v>
      </c>
      <c r="D142" s="1" t="s">
        <v>248</v>
      </c>
      <c r="E142" s="20" t="s">
        <v>395</v>
      </c>
      <c r="F142" s="1"/>
      <c r="G142" s="1"/>
      <c r="H142" s="1" t="s">
        <v>435</v>
      </c>
      <c r="I142" s="1" t="s">
        <v>226</v>
      </c>
      <c r="J142" s="1">
        <v>66</v>
      </c>
      <c r="K142" s="1" t="s">
        <v>184</v>
      </c>
      <c r="L142" s="38">
        <v>45184</v>
      </c>
      <c r="M142" s="1"/>
      <c r="N142" s="1"/>
      <c r="O142" s="1">
        <v>19.18</v>
      </c>
      <c r="P142" s="1">
        <v>1.31</v>
      </c>
      <c r="Q142" s="1">
        <v>0.41</v>
      </c>
      <c r="R142" s="1">
        <v>30</v>
      </c>
      <c r="S142" s="1">
        <v>575.5</v>
      </c>
      <c r="T142" s="40">
        <v>28.770859718322754</v>
      </c>
      <c r="U142" s="40">
        <v>25.875930786132812</v>
      </c>
      <c r="V142" s="40">
        <v>29.083057403564453</v>
      </c>
      <c r="W142" s="40">
        <v>25.824509620666504</v>
      </c>
      <c r="X142" s="40">
        <v>25.531301498413086</v>
      </c>
      <c r="Y142" s="40">
        <v>24.855618476867676</v>
      </c>
      <c r="Z142" s="40">
        <v>26.313300132751465</v>
      </c>
      <c r="AA142" s="40">
        <v>25.551555633544922</v>
      </c>
      <c r="AB142" s="40">
        <v>40</v>
      </c>
      <c r="AC142" s="40">
        <v>27.471936225891113</v>
      </c>
      <c r="AD142" s="40">
        <v>40</v>
      </c>
      <c r="AE142" s="40">
        <v>25.874608039855957</v>
      </c>
      <c r="AF142" s="40">
        <v>34.651979446411133</v>
      </c>
      <c r="AG142" s="40">
        <v>25.781804084777832</v>
      </c>
      <c r="AH142" s="40">
        <v>36.812797546386719</v>
      </c>
      <c r="AI142" s="40">
        <v>25.936093330383301</v>
      </c>
      <c r="AJ142" s="40">
        <v>39.271156311035156</v>
      </c>
      <c r="AK142" s="40">
        <v>25.785976409912109</v>
      </c>
      <c r="AL142" s="1" t="s">
        <v>226</v>
      </c>
      <c r="AM142" s="62">
        <f t="shared" si="33"/>
        <v>19.255559823509589</v>
      </c>
      <c r="AP142" s="1" t="s">
        <v>435</v>
      </c>
      <c r="AQ142" s="1" t="s">
        <v>226</v>
      </c>
      <c r="AR142" s="46">
        <f t="shared" si="34"/>
        <v>2.8949289321899414</v>
      </c>
      <c r="AS142" s="46">
        <f t="shared" si="35"/>
        <v>3.2585477828979492</v>
      </c>
      <c r="AT142" s="46">
        <f t="shared" si="36"/>
        <v>0.67568302154541016</v>
      </c>
      <c r="AU142" s="46">
        <f t="shared" si="37"/>
        <v>0.76174449920654297</v>
      </c>
      <c r="AV142" s="46">
        <f t="shared" si="38"/>
        <v>12.528063774108887</v>
      </c>
      <c r="AW142" s="46">
        <f t="shared" si="39"/>
        <v>14.125391960144043</v>
      </c>
      <c r="AX142" s="46">
        <f t="shared" si="40"/>
        <v>8.8701753616333008</v>
      </c>
      <c r="AY142" s="46">
        <f t="shared" si="41"/>
        <v>10.876704216003418</v>
      </c>
      <c r="AZ142" s="46">
        <f t="shared" si="42"/>
        <v>13.485179901123047</v>
      </c>
      <c r="BA142" s="46"/>
      <c r="BB142" s="1" t="s">
        <v>435</v>
      </c>
      <c r="BC142" s="1" t="s">
        <v>226</v>
      </c>
      <c r="BD142" s="46" t="e">
        <f>AR142*#REF!</f>
        <v>#REF!</v>
      </c>
      <c r="BE142" s="46" t="e">
        <f>AS142*#REF!</f>
        <v>#REF!</v>
      </c>
      <c r="BF142" s="46" t="e">
        <f>AT142*#REF!</f>
        <v>#REF!</v>
      </c>
      <c r="BG142" s="46" t="e">
        <f>AU142*#REF!</f>
        <v>#REF!</v>
      </c>
      <c r="BH142" s="46" t="e">
        <f>AV142*#REF!</f>
        <v>#REF!</v>
      </c>
      <c r="BI142" s="46" t="e">
        <f>AW142*#REF!</f>
        <v>#REF!</v>
      </c>
      <c r="BJ142" s="46" t="e">
        <f>AX142*#REF!</f>
        <v>#REF!</v>
      </c>
      <c r="BK142" s="46" t="e">
        <f>AY142*#REF!</f>
        <v>#REF!</v>
      </c>
      <c r="BL142" s="46" t="e">
        <f>AZ142*#REF!</f>
        <v>#REF!</v>
      </c>
      <c r="BM142" s="46" t="e">
        <f t="shared" si="43"/>
        <v>#REF!</v>
      </c>
      <c r="BN142" s="82" t="e">
        <f t="shared" si="44"/>
        <v>#REF!</v>
      </c>
      <c r="BP142" s="64">
        <v>19.255559823509589</v>
      </c>
      <c r="BQ142" s="64">
        <v>0.1114218777597616</v>
      </c>
    </row>
    <row r="143" spans="1:69" ht="18">
      <c r="A143" s="1" t="s">
        <v>276</v>
      </c>
      <c r="B143" s="1">
        <v>117</v>
      </c>
      <c r="C143" s="1" t="s">
        <v>249</v>
      </c>
      <c r="D143" s="1" t="s">
        <v>248</v>
      </c>
      <c r="E143" s="20" t="s">
        <v>395</v>
      </c>
      <c r="F143" s="1"/>
      <c r="G143" s="1"/>
      <c r="H143" s="1" t="s">
        <v>425</v>
      </c>
      <c r="I143" s="1" t="s">
        <v>226</v>
      </c>
      <c r="J143" s="1">
        <v>66</v>
      </c>
      <c r="K143" s="1" t="s">
        <v>184</v>
      </c>
      <c r="L143" s="38">
        <v>45184</v>
      </c>
      <c r="M143" s="1"/>
      <c r="N143" s="1"/>
      <c r="O143" s="1">
        <v>24.48</v>
      </c>
      <c r="P143" s="1">
        <v>1.31</v>
      </c>
      <c r="Q143" s="1">
        <v>0.42</v>
      </c>
      <c r="R143" s="1">
        <v>30</v>
      </c>
      <c r="S143" s="1">
        <v>734.4</v>
      </c>
      <c r="T143" s="40">
        <v>30.168237686157227</v>
      </c>
      <c r="U143" s="40">
        <v>25.900570869445801</v>
      </c>
      <c r="V143" s="40">
        <v>30.786911964416504</v>
      </c>
      <c r="W143" s="40">
        <v>25.882349967956543</v>
      </c>
      <c r="X143" s="40">
        <v>26.140146255493164</v>
      </c>
      <c r="Y143" s="40">
        <v>25.03242015838623</v>
      </c>
      <c r="Z143" s="40">
        <v>26.648980140686035</v>
      </c>
      <c r="AA143" s="40">
        <v>25.705477714538574</v>
      </c>
      <c r="AB143" s="40">
        <v>40</v>
      </c>
      <c r="AC143" s="40">
        <v>27.672981262207031</v>
      </c>
      <c r="AD143" s="40">
        <v>40</v>
      </c>
      <c r="AE143" s="40">
        <v>25.944517135620117</v>
      </c>
      <c r="AF143" s="40">
        <v>35.18931770324707</v>
      </c>
      <c r="AG143" s="40">
        <v>25.915143966674805</v>
      </c>
      <c r="AH143" s="40">
        <v>38.579389572143555</v>
      </c>
      <c r="AI143" s="40">
        <v>25.965847969055176</v>
      </c>
      <c r="AJ143" s="40">
        <v>39.854108810424805</v>
      </c>
      <c r="AK143" s="40">
        <v>25.861982345581055</v>
      </c>
      <c r="AL143" s="1" t="s">
        <v>226</v>
      </c>
      <c r="AM143" s="62">
        <f t="shared" si="33"/>
        <v>21.573681993349023</v>
      </c>
      <c r="AP143" s="1" t="s">
        <v>425</v>
      </c>
      <c r="AQ143" s="1" t="s">
        <v>226</v>
      </c>
      <c r="AR143" s="46">
        <f t="shared" si="34"/>
        <v>4.2676668167114258</v>
      </c>
      <c r="AS143" s="46">
        <f t="shared" si="35"/>
        <v>4.9045619964599609</v>
      </c>
      <c r="AT143" s="46">
        <f t="shared" si="36"/>
        <v>1.1077260971069336</v>
      </c>
      <c r="AU143" s="46">
        <f t="shared" si="37"/>
        <v>0.94350242614746094</v>
      </c>
      <c r="AV143" s="46">
        <f t="shared" si="38"/>
        <v>12.327018737792969</v>
      </c>
      <c r="AW143" s="46">
        <f t="shared" si="39"/>
        <v>14.055482864379883</v>
      </c>
      <c r="AX143" s="46">
        <f t="shared" si="40"/>
        <v>9.2741737365722656</v>
      </c>
      <c r="AY143" s="46">
        <f t="shared" si="41"/>
        <v>12.613541603088379</v>
      </c>
      <c r="AZ143" s="46">
        <f t="shared" si="42"/>
        <v>13.99212646484375</v>
      </c>
      <c r="BA143" s="46"/>
      <c r="BB143" s="1" t="s">
        <v>425</v>
      </c>
      <c r="BC143" s="1" t="s">
        <v>226</v>
      </c>
      <c r="BD143" s="46" t="e">
        <f>AR143*#REF!</f>
        <v>#REF!</v>
      </c>
      <c r="BE143" s="46" t="e">
        <f>AS143*#REF!</f>
        <v>#REF!</v>
      </c>
      <c r="BF143" s="46" t="e">
        <f>AT143*#REF!</f>
        <v>#REF!</v>
      </c>
      <c r="BG143" s="46" t="e">
        <f>AU143*#REF!</f>
        <v>#REF!</v>
      </c>
      <c r="BH143" s="46" t="e">
        <f>AV143*#REF!</f>
        <v>#REF!</v>
      </c>
      <c r="BI143" s="46" t="e">
        <f>AW143*#REF!</f>
        <v>#REF!</v>
      </c>
      <c r="BJ143" s="46" t="e">
        <f>AX143*#REF!</f>
        <v>#REF!</v>
      </c>
      <c r="BK143" s="46" t="e">
        <f>AY143*#REF!</f>
        <v>#REF!</v>
      </c>
      <c r="BL143" s="46" t="e">
        <f>AZ143*#REF!</f>
        <v>#REF!</v>
      </c>
      <c r="BM143" s="46" t="e">
        <f t="shared" si="43"/>
        <v>#REF!</v>
      </c>
      <c r="BN143" s="82" t="e">
        <f t="shared" si="44"/>
        <v>#REF!</v>
      </c>
      <c r="BP143" s="64">
        <v>21.573681993349023</v>
      </c>
      <c r="BQ143" s="64">
        <v>6.2177281593580512E-2</v>
      </c>
    </row>
    <row r="144" spans="1:69" s="74" customFormat="1" ht="18">
      <c r="A144" s="70" t="s">
        <v>276</v>
      </c>
      <c r="B144" s="70">
        <v>118</v>
      </c>
      <c r="C144" s="70" t="s">
        <v>224</v>
      </c>
      <c r="D144" s="70" t="s">
        <v>250</v>
      </c>
      <c r="E144" s="77" t="s">
        <v>396</v>
      </c>
      <c r="F144" s="70"/>
      <c r="G144" s="70"/>
      <c r="H144" s="70" t="s">
        <v>407</v>
      </c>
      <c r="I144" s="70" t="s">
        <v>251</v>
      </c>
      <c r="J144" s="70">
        <v>71</v>
      </c>
      <c r="K144" s="70" t="s">
        <v>184</v>
      </c>
      <c r="L144" s="78">
        <v>44362</v>
      </c>
      <c r="M144" s="70"/>
      <c r="N144" s="70"/>
      <c r="O144" s="70">
        <v>16.39</v>
      </c>
      <c r="P144" s="70">
        <v>1.27</v>
      </c>
      <c r="Q144" s="70">
        <v>0.4</v>
      </c>
      <c r="R144" s="70">
        <v>30</v>
      </c>
      <c r="S144" s="70">
        <v>491.7</v>
      </c>
      <c r="T144" s="79">
        <v>28.926263809204102</v>
      </c>
      <c r="U144" s="79">
        <v>25.683085441589355</v>
      </c>
      <c r="V144" s="79">
        <v>29.033700942993164</v>
      </c>
      <c r="W144" s="79">
        <v>25.754510879516602</v>
      </c>
      <c r="X144" s="79">
        <v>28.728985786437988</v>
      </c>
      <c r="Y144" s="79">
        <v>25.443032264709473</v>
      </c>
      <c r="Z144" s="79">
        <v>28.704724311828613</v>
      </c>
      <c r="AA144" s="79">
        <v>25.751280784606934</v>
      </c>
      <c r="AB144" s="79">
        <v>40</v>
      </c>
      <c r="AC144" s="79">
        <v>27.503037452697754</v>
      </c>
      <c r="AD144" s="79">
        <v>40</v>
      </c>
      <c r="AE144" s="79">
        <v>25.869879722595215</v>
      </c>
      <c r="AF144" s="79">
        <v>38.994850158691406</v>
      </c>
      <c r="AG144" s="79">
        <v>25.765411376953125</v>
      </c>
      <c r="AH144" s="79">
        <v>38.05341911315918</v>
      </c>
      <c r="AI144" s="79">
        <v>25.850404739379883</v>
      </c>
      <c r="AJ144" s="79">
        <v>39.56071662902832</v>
      </c>
      <c r="AK144" s="79">
        <v>25.679933547973633</v>
      </c>
      <c r="AL144" s="70" t="s">
        <v>251</v>
      </c>
      <c r="AM144" s="73">
        <f t="shared" si="33"/>
        <v>1.0971480048676064E-2</v>
      </c>
      <c r="AP144" s="70" t="s">
        <v>407</v>
      </c>
      <c r="AQ144" s="70" t="s">
        <v>251</v>
      </c>
      <c r="AR144" s="75">
        <f t="shared" si="34"/>
        <v>3.2431783676147461</v>
      </c>
      <c r="AS144" s="75">
        <f t="shared" si="35"/>
        <v>3.2791900634765625</v>
      </c>
      <c r="AT144" s="75">
        <f t="shared" si="36"/>
        <v>3.2859535217285156</v>
      </c>
      <c r="AU144" s="75">
        <f t="shared" si="37"/>
        <v>2.9534435272216797</v>
      </c>
      <c r="AV144" s="75">
        <f t="shared" si="38"/>
        <v>12.496962547302246</v>
      </c>
      <c r="AW144" s="75">
        <f t="shared" si="39"/>
        <v>14.130120277404785</v>
      </c>
      <c r="AX144" s="75">
        <f t="shared" si="40"/>
        <v>13.229438781738281</v>
      </c>
      <c r="AY144" s="75">
        <f t="shared" si="41"/>
        <v>12.203014373779297</v>
      </c>
      <c r="AZ144" s="75">
        <f t="shared" si="42"/>
        <v>13.880783081054688</v>
      </c>
      <c r="BA144" s="75"/>
      <c r="BB144" s="70" t="s">
        <v>407</v>
      </c>
      <c r="BC144" s="70" t="s">
        <v>251</v>
      </c>
      <c r="BD144" s="75" t="e">
        <f>AR144*#REF!</f>
        <v>#REF!</v>
      </c>
      <c r="BE144" s="75" t="e">
        <f>AS144*#REF!</f>
        <v>#REF!</v>
      </c>
      <c r="BF144" s="75" t="e">
        <f>AT144*#REF!</f>
        <v>#REF!</v>
      </c>
      <c r="BG144" s="75" t="e">
        <f>AU144*#REF!</f>
        <v>#REF!</v>
      </c>
      <c r="BH144" s="75" t="e">
        <f>AV144*#REF!</f>
        <v>#REF!</v>
      </c>
      <c r="BI144" s="75" t="e">
        <f>AW144*#REF!</f>
        <v>#REF!</v>
      </c>
      <c r="BJ144" s="75" t="e">
        <f>AX144*#REF!</f>
        <v>#REF!</v>
      </c>
      <c r="BK144" s="75" t="e">
        <f>AY144*#REF!</f>
        <v>#REF!</v>
      </c>
      <c r="BL144" s="75" t="e">
        <f>AZ144*#REF!</f>
        <v>#REF!</v>
      </c>
      <c r="BM144" s="75" t="e">
        <f t="shared" si="43"/>
        <v>#REF!</v>
      </c>
      <c r="BN144" s="84" t="e">
        <f t="shared" si="44"/>
        <v>#REF!</v>
      </c>
      <c r="BP144" s="88">
        <v>1.0971480048676064E-2</v>
      </c>
      <c r="BQ144" s="88">
        <v>2.6848338428548538E-3</v>
      </c>
    </row>
    <row r="145" spans="1:69" s="74" customFormat="1" ht="18">
      <c r="A145" s="70" t="s">
        <v>276</v>
      </c>
      <c r="B145" s="70">
        <v>119</v>
      </c>
      <c r="C145" s="70" t="s">
        <v>252</v>
      </c>
      <c r="D145" s="70" t="s">
        <v>250</v>
      </c>
      <c r="E145" s="77" t="s">
        <v>396</v>
      </c>
      <c r="F145" s="70"/>
      <c r="G145" s="70"/>
      <c r="H145" s="70" t="s">
        <v>409</v>
      </c>
      <c r="I145" s="70" t="s">
        <v>251</v>
      </c>
      <c r="J145" s="70">
        <v>71</v>
      </c>
      <c r="K145" s="70" t="s">
        <v>184</v>
      </c>
      <c r="L145" s="78">
        <v>44362</v>
      </c>
      <c r="M145" s="70"/>
      <c r="N145" s="70"/>
      <c r="O145" s="70">
        <v>15.31</v>
      </c>
      <c r="P145" s="70">
        <v>1.29</v>
      </c>
      <c r="Q145" s="70">
        <v>0.38</v>
      </c>
      <c r="R145" s="70">
        <v>30</v>
      </c>
      <c r="S145" s="70">
        <v>459.4</v>
      </c>
      <c r="T145" s="79">
        <v>30.7138671875</v>
      </c>
      <c r="U145" s="79">
        <v>26.111650466918945</v>
      </c>
      <c r="V145" s="79">
        <v>30.386059761047363</v>
      </c>
      <c r="W145" s="79">
        <v>26.170022010803223</v>
      </c>
      <c r="X145" s="79">
        <v>29.055211067199707</v>
      </c>
      <c r="Y145" s="79">
        <v>25.903278350830078</v>
      </c>
      <c r="Z145" s="79">
        <v>28.714556694030762</v>
      </c>
      <c r="AA145" s="79">
        <v>26.102410316467285</v>
      </c>
      <c r="AB145" s="79">
        <v>40</v>
      </c>
      <c r="AC145" s="79">
        <v>27.795977592468262</v>
      </c>
      <c r="AD145" s="79">
        <v>40</v>
      </c>
      <c r="AE145" s="79">
        <v>26.142746925354004</v>
      </c>
      <c r="AF145" s="79">
        <v>38.673877716064453</v>
      </c>
      <c r="AG145" s="79">
        <v>26.191648483276367</v>
      </c>
      <c r="AH145" s="79">
        <v>40</v>
      </c>
      <c r="AI145" s="79">
        <v>26.180964469909668</v>
      </c>
      <c r="AJ145" s="79">
        <v>39.222053527832031</v>
      </c>
      <c r="AK145" s="79">
        <v>26.229273796081543</v>
      </c>
      <c r="AL145" s="70" t="s">
        <v>251</v>
      </c>
      <c r="AM145" s="73">
        <f t="shared" si="33"/>
        <v>9.8759152889847879E-2</v>
      </c>
      <c r="AP145" s="70" t="s">
        <v>409</v>
      </c>
      <c r="AQ145" s="70" t="s">
        <v>251</v>
      </c>
      <c r="AR145" s="75">
        <f t="shared" si="34"/>
        <v>4.6022167205810547</v>
      </c>
      <c r="AS145" s="75">
        <f t="shared" si="35"/>
        <v>4.2160377502441406</v>
      </c>
      <c r="AT145" s="75">
        <f t="shared" si="36"/>
        <v>3.1519327163696289</v>
      </c>
      <c r="AU145" s="75">
        <f t="shared" si="37"/>
        <v>2.6121463775634766</v>
      </c>
      <c r="AV145" s="75">
        <f t="shared" si="38"/>
        <v>12.204022407531738</v>
      </c>
      <c r="AW145" s="75">
        <f t="shared" si="39"/>
        <v>13.857253074645996</v>
      </c>
      <c r="AX145" s="75">
        <f t="shared" si="40"/>
        <v>12.482229232788086</v>
      </c>
      <c r="AY145" s="75">
        <f t="shared" si="41"/>
        <v>13.819035530090332</v>
      </c>
      <c r="AZ145" s="75">
        <f t="shared" si="42"/>
        <v>12.992779731750488</v>
      </c>
      <c r="BA145" s="75"/>
      <c r="BB145" s="70" t="s">
        <v>409</v>
      </c>
      <c r="BC145" s="70" t="s">
        <v>251</v>
      </c>
      <c r="BD145" s="75" t="e">
        <f>AR145*#REF!</f>
        <v>#REF!</v>
      </c>
      <c r="BE145" s="75" t="e">
        <f>AS145*#REF!</f>
        <v>#REF!</v>
      </c>
      <c r="BF145" s="75" t="e">
        <f>AT145*#REF!</f>
        <v>#REF!</v>
      </c>
      <c r="BG145" s="75" t="e">
        <f>AU145*#REF!</f>
        <v>#REF!</v>
      </c>
      <c r="BH145" s="75" t="e">
        <f>AV145*#REF!</f>
        <v>#REF!</v>
      </c>
      <c r="BI145" s="75" t="e">
        <f>AW145*#REF!</f>
        <v>#REF!</v>
      </c>
      <c r="BJ145" s="75" t="e">
        <f>AX145*#REF!</f>
        <v>#REF!</v>
      </c>
      <c r="BK145" s="75" t="e">
        <f>AY145*#REF!</f>
        <v>#REF!</v>
      </c>
      <c r="BL145" s="75" t="e">
        <f>AZ145*#REF!</f>
        <v>#REF!</v>
      </c>
      <c r="BM145" s="75" t="e">
        <f t="shared" si="43"/>
        <v>#REF!</v>
      </c>
      <c r="BN145" s="84" t="e">
        <f t="shared" si="44"/>
        <v>#REF!</v>
      </c>
      <c r="BP145" s="88">
        <v>9.8759152889847879E-2</v>
      </c>
      <c r="BQ145" s="88">
        <v>3.5159380466718479E-3</v>
      </c>
    </row>
    <row r="146" spans="1:69" s="74" customFormat="1" ht="18">
      <c r="A146" s="70" t="s">
        <v>276</v>
      </c>
      <c r="B146" s="70">
        <v>120</v>
      </c>
      <c r="C146" s="70" t="s">
        <v>227</v>
      </c>
      <c r="D146" s="70" t="s">
        <v>76</v>
      </c>
      <c r="E146" s="77" t="s">
        <v>397</v>
      </c>
      <c r="F146" s="70"/>
      <c r="G146" s="70"/>
      <c r="H146" s="70" t="s">
        <v>408</v>
      </c>
      <c r="I146" s="70" t="s">
        <v>251</v>
      </c>
      <c r="J146" s="70">
        <v>82</v>
      </c>
      <c r="K146" s="70" t="s">
        <v>184</v>
      </c>
      <c r="L146" s="78">
        <v>44508</v>
      </c>
      <c r="M146" s="70"/>
      <c r="N146" s="70"/>
      <c r="O146" s="70">
        <v>12.61</v>
      </c>
      <c r="P146" s="70">
        <v>1.22</v>
      </c>
      <c r="Q146" s="70">
        <v>0.36</v>
      </c>
      <c r="R146" s="70">
        <v>30</v>
      </c>
      <c r="S146" s="70">
        <v>378.4</v>
      </c>
      <c r="T146" s="79">
        <v>29.766219139099121</v>
      </c>
      <c r="U146" s="79">
        <v>25.725479125976562</v>
      </c>
      <c r="V146" s="79">
        <v>29.205352783203125</v>
      </c>
      <c r="W146" s="79">
        <v>25.785594940185547</v>
      </c>
      <c r="X146" s="79">
        <v>26.798136711120605</v>
      </c>
      <c r="Y146" s="79">
        <v>25.070278167724609</v>
      </c>
      <c r="Z146" s="79">
        <v>25.804750442504883</v>
      </c>
      <c r="AA146" s="79">
        <v>25.449786186218262</v>
      </c>
      <c r="AB146" s="79">
        <v>40</v>
      </c>
      <c r="AC146" s="79">
        <v>27.40590763092041</v>
      </c>
      <c r="AD146" s="79">
        <v>40</v>
      </c>
      <c r="AE146" s="79">
        <v>25.770045280456543</v>
      </c>
      <c r="AF146" s="79">
        <v>33.607248306274414</v>
      </c>
      <c r="AG146" s="79">
        <v>25.71898365020752</v>
      </c>
      <c r="AH146" s="79">
        <v>37.853763580322266</v>
      </c>
      <c r="AI146" s="79">
        <v>25.874814033508301</v>
      </c>
      <c r="AJ146" s="79">
        <v>38.030477523803711</v>
      </c>
      <c r="AK146" s="79">
        <v>25.854662895202637</v>
      </c>
      <c r="AL146" s="70" t="s">
        <v>251</v>
      </c>
      <c r="AM146" s="73">
        <f t="shared" si="33"/>
        <v>71.532911648786708</v>
      </c>
      <c r="AP146" s="70" t="s">
        <v>408</v>
      </c>
      <c r="AQ146" s="70" t="s">
        <v>251</v>
      </c>
      <c r="AR146" s="75">
        <f t="shared" si="34"/>
        <v>4.0407400131225586</v>
      </c>
      <c r="AS146" s="75">
        <f t="shared" si="35"/>
        <v>3.4197578430175781</v>
      </c>
      <c r="AT146" s="75">
        <f t="shared" si="36"/>
        <v>1.7278585433959961</v>
      </c>
      <c r="AU146" s="75">
        <f t="shared" si="37"/>
        <v>0.35496425628662109</v>
      </c>
      <c r="AV146" s="75">
        <f t="shared" si="38"/>
        <v>12.59409236907959</v>
      </c>
      <c r="AW146" s="75">
        <f t="shared" si="39"/>
        <v>14.229954719543457</v>
      </c>
      <c r="AX146" s="75">
        <f t="shared" si="40"/>
        <v>7.8882646560668945</v>
      </c>
      <c r="AY146" s="75">
        <f t="shared" si="41"/>
        <v>11.978949546813965</v>
      </c>
      <c r="AZ146" s="75">
        <f t="shared" si="42"/>
        <v>12.175814628601074</v>
      </c>
      <c r="BA146" s="75"/>
      <c r="BB146" s="70" t="s">
        <v>408</v>
      </c>
      <c r="BC146" s="70" t="s">
        <v>251</v>
      </c>
      <c r="BD146" s="75" t="e">
        <f>AR146*#REF!</f>
        <v>#REF!</v>
      </c>
      <c r="BE146" s="75" t="e">
        <f>AS146*#REF!</f>
        <v>#REF!</v>
      </c>
      <c r="BF146" s="75" t="e">
        <f>AT146*#REF!</f>
        <v>#REF!</v>
      </c>
      <c r="BG146" s="75" t="e">
        <f>AU146*#REF!</f>
        <v>#REF!</v>
      </c>
      <c r="BH146" s="75" t="e">
        <f>AV146*#REF!</f>
        <v>#REF!</v>
      </c>
      <c r="BI146" s="75" t="e">
        <f>AW146*#REF!</f>
        <v>#REF!</v>
      </c>
      <c r="BJ146" s="75" t="e">
        <f>AX146*#REF!</f>
        <v>#REF!</v>
      </c>
      <c r="BK146" s="75" t="e">
        <f>AY146*#REF!</f>
        <v>#REF!</v>
      </c>
      <c r="BL146" s="75" t="e">
        <f>AZ146*#REF!</f>
        <v>#REF!</v>
      </c>
      <c r="BM146" s="75" t="e">
        <f t="shared" si="43"/>
        <v>#REF!</v>
      </c>
      <c r="BN146" s="84" t="e">
        <f t="shared" si="44"/>
        <v>#REF!</v>
      </c>
      <c r="BP146" s="88">
        <v>71.532911648786708</v>
      </c>
      <c r="BQ146" s="88">
        <v>0.1139429910840192</v>
      </c>
    </row>
    <row r="147" spans="1:69" s="74" customFormat="1" ht="18">
      <c r="A147" s="70" t="s">
        <v>276</v>
      </c>
      <c r="B147" s="70">
        <v>121</v>
      </c>
      <c r="C147" s="70" t="s">
        <v>229</v>
      </c>
      <c r="D147" s="70" t="s">
        <v>80</v>
      </c>
      <c r="E147" s="77" t="s">
        <v>398</v>
      </c>
      <c r="F147" s="70"/>
      <c r="G147" s="70"/>
      <c r="H147" s="70" t="s">
        <v>410</v>
      </c>
      <c r="I147" s="70" t="s">
        <v>251</v>
      </c>
      <c r="J147" s="70">
        <v>62</v>
      </c>
      <c r="K147" s="70" t="s">
        <v>118</v>
      </c>
      <c r="L147" s="78">
        <v>44540</v>
      </c>
      <c r="M147" s="70"/>
      <c r="N147" s="70"/>
      <c r="O147" s="70">
        <v>9.74</v>
      </c>
      <c r="P147" s="70">
        <v>1.19</v>
      </c>
      <c r="Q147" s="70">
        <v>0.35</v>
      </c>
      <c r="R147" s="70">
        <v>30</v>
      </c>
      <c r="S147" s="70">
        <v>292.2</v>
      </c>
      <c r="T147" s="79">
        <v>28.400535583496094</v>
      </c>
      <c r="U147" s="79">
        <v>25.939501762390137</v>
      </c>
      <c r="V147" s="79">
        <v>27.304661750793457</v>
      </c>
      <c r="W147" s="79">
        <v>25.944443702697754</v>
      </c>
      <c r="X147" s="79">
        <v>28.879096984863281</v>
      </c>
      <c r="Y147" s="79">
        <v>25.688551902770996</v>
      </c>
      <c r="Z147" s="79">
        <v>26.716170310974121</v>
      </c>
      <c r="AA147" s="79">
        <v>25.738082885742188</v>
      </c>
      <c r="AB147" s="79">
        <v>40</v>
      </c>
      <c r="AC147" s="79">
        <v>27.386030197143555</v>
      </c>
      <c r="AD147" s="79">
        <v>37.996599197387695</v>
      </c>
      <c r="AE147" s="79">
        <v>25.94147777557373</v>
      </c>
      <c r="AF147" s="79">
        <v>36.203933715820312</v>
      </c>
      <c r="AG147" s="79">
        <v>25.959006309509277</v>
      </c>
      <c r="AH147" s="79">
        <v>33.094646453857422</v>
      </c>
      <c r="AI147" s="79">
        <v>26.035388946533203</v>
      </c>
      <c r="AJ147" s="79">
        <v>36.974239349365234</v>
      </c>
      <c r="AK147" s="79">
        <v>25.940237045288086</v>
      </c>
      <c r="AL147" s="70" t="s">
        <v>251</v>
      </c>
      <c r="AM147" s="73">
        <f t="shared" si="33"/>
        <v>1.3255819165664402</v>
      </c>
      <c r="AP147" s="70" t="s">
        <v>410</v>
      </c>
      <c r="AQ147" s="70" t="s">
        <v>251</v>
      </c>
      <c r="AR147" s="75">
        <f t="shared" si="34"/>
        <v>2.461033821105957</v>
      </c>
      <c r="AS147" s="75">
        <f t="shared" si="35"/>
        <v>1.3602180480957031</v>
      </c>
      <c r="AT147" s="75">
        <f t="shared" si="36"/>
        <v>3.1905450820922852</v>
      </c>
      <c r="AU147" s="75">
        <f t="shared" si="37"/>
        <v>0.97808742523193359</v>
      </c>
      <c r="AV147" s="75">
        <f t="shared" si="38"/>
        <v>12.613969802856445</v>
      </c>
      <c r="AW147" s="75">
        <f t="shared" si="39"/>
        <v>12.055121421813965</v>
      </c>
      <c r="AX147" s="75">
        <f t="shared" si="40"/>
        <v>10.244927406311035</v>
      </c>
      <c r="AY147" s="75">
        <f t="shared" si="41"/>
        <v>7.0592575073242188</v>
      </c>
      <c r="AZ147" s="75">
        <f t="shared" si="42"/>
        <v>11.034002304077148</v>
      </c>
      <c r="BA147" s="75"/>
      <c r="BB147" s="70" t="s">
        <v>410</v>
      </c>
      <c r="BC147" s="70" t="s">
        <v>251</v>
      </c>
      <c r="BD147" s="75" t="e">
        <f>AR147*#REF!</f>
        <v>#REF!</v>
      </c>
      <c r="BE147" s="75" t="e">
        <f>AS147*#REF!</f>
        <v>#REF!</v>
      </c>
      <c r="BF147" s="75" t="e">
        <f>AT147*#REF!</f>
        <v>#REF!</v>
      </c>
      <c r="BG147" s="75" t="e">
        <f>AU147*#REF!</f>
        <v>#REF!</v>
      </c>
      <c r="BH147" s="75" t="e">
        <f>AV147*#REF!</f>
        <v>#REF!</v>
      </c>
      <c r="BI147" s="75" t="e">
        <f>AW147*#REF!</f>
        <v>#REF!</v>
      </c>
      <c r="BJ147" s="75" t="e">
        <f>AX147*#REF!</f>
        <v>#REF!</v>
      </c>
      <c r="BK147" s="75" t="e">
        <f>AY147*#REF!</f>
        <v>#REF!</v>
      </c>
      <c r="BL147" s="75" t="e">
        <f>AZ147*#REF!</f>
        <v>#REF!</v>
      </c>
      <c r="BM147" s="75" t="e">
        <f t="shared" si="43"/>
        <v>#REF!</v>
      </c>
      <c r="BN147" s="84" t="e">
        <f t="shared" si="44"/>
        <v>#REF!</v>
      </c>
      <c r="BP147" s="88">
        <v>1.3255819165664402</v>
      </c>
      <c r="BQ147" s="88">
        <v>4.5524461662724697E-2</v>
      </c>
    </row>
    <row r="148" spans="1:69" s="74" customFormat="1" ht="18">
      <c r="A148" s="70" t="s">
        <v>276</v>
      </c>
      <c r="B148" s="70">
        <v>122</v>
      </c>
      <c r="C148" s="70" t="s">
        <v>231</v>
      </c>
      <c r="D148" s="70" t="s">
        <v>84</v>
      </c>
      <c r="E148" s="77" t="s">
        <v>399</v>
      </c>
      <c r="F148" s="70"/>
      <c r="G148" s="70"/>
      <c r="H148" s="70" t="s">
        <v>411</v>
      </c>
      <c r="I148" s="70" t="s">
        <v>251</v>
      </c>
      <c r="J148" s="70">
        <v>68</v>
      </c>
      <c r="K148" s="70" t="s">
        <v>118</v>
      </c>
      <c r="L148" s="78" t="s">
        <v>253</v>
      </c>
      <c r="M148" s="70"/>
      <c r="N148" s="70"/>
      <c r="O148" s="70">
        <v>11.95</v>
      </c>
      <c r="P148" s="70">
        <v>1.26</v>
      </c>
      <c r="Q148" s="70">
        <v>0.38</v>
      </c>
      <c r="R148" s="70">
        <v>30</v>
      </c>
      <c r="S148" s="70">
        <v>358.4</v>
      </c>
      <c r="T148" s="79">
        <v>27.644565582275391</v>
      </c>
      <c r="U148" s="79">
        <v>26.323910713195801</v>
      </c>
      <c r="V148" s="79">
        <v>26.608442306518555</v>
      </c>
      <c r="W148" s="79">
        <v>26.311286926269531</v>
      </c>
      <c r="X148" s="79">
        <v>26.200319290161133</v>
      </c>
      <c r="Y148" s="79">
        <v>25.585291862487793</v>
      </c>
      <c r="Z148" s="79">
        <v>26.17035961151123</v>
      </c>
      <c r="AA148" s="79">
        <v>26.039128303527832</v>
      </c>
      <c r="AB148" s="79">
        <v>39.583267211914062</v>
      </c>
      <c r="AC148" s="79">
        <v>27.977874755859375</v>
      </c>
      <c r="AD148" s="79">
        <v>35.492212295532227</v>
      </c>
      <c r="AE148" s="79">
        <v>26.418587684631348</v>
      </c>
      <c r="AF148" s="79">
        <v>34.609086990356445</v>
      </c>
      <c r="AG148" s="79">
        <v>26.422135353088379</v>
      </c>
      <c r="AH148" s="79">
        <v>32.305141448974609</v>
      </c>
      <c r="AI148" s="79">
        <v>26.450954437255859</v>
      </c>
      <c r="AJ148" s="79">
        <v>35.337961196899414</v>
      </c>
      <c r="AK148" s="79">
        <v>26.325431823730469</v>
      </c>
      <c r="AL148" s="70" t="s">
        <v>251</v>
      </c>
      <c r="AM148" s="73">
        <f t="shared" si="33"/>
        <v>27.987036841951117</v>
      </c>
      <c r="AP148" s="70" t="s">
        <v>411</v>
      </c>
      <c r="AQ148" s="70" t="s">
        <v>251</v>
      </c>
      <c r="AR148" s="75">
        <f t="shared" si="34"/>
        <v>1.3206548690795898</v>
      </c>
      <c r="AS148" s="75">
        <f t="shared" si="35"/>
        <v>0.29715538024902344</v>
      </c>
      <c r="AT148" s="75">
        <f t="shared" si="36"/>
        <v>0.61502742767333984</v>
      </c>
      <c r="AU148" s="75">
        <f t="shared" si="37"/>
        <v>0.13123130798339844</v>
      </c>
      <c r="AV148" s="75">
        <f t="shared" si="38"/>
        <v>11.605392456054688</v>
      </c>
      <c r="AW148" s="75">
        <f t="shared" si="39"/>
        <v>9.0736246109008789</v>
      </c>
      <c r="AX148" s="75">
        <f t="shared" si="40"/>
        <v>8.1869516372680664</v>
      </c>
      <c r="AY148" s="75">
        <f t="shared" si="41"/>
        <v>5.85418701171875</v>
      </c>
      <c r="AZ148" s="75">
        <f t="shared" si="42"/>
        <v>9.0125293731689453</v>
      </c>
      <c r="BA148" s="75"/>
      <c r="BB148" s="70" t="s">
        <v>411</v>
      </c>
      <c r="BC148" s="70" t="s">
        <v>251</v>
      </c>
      <c r="BD148" s="75" t="e">
        <f>AR148*#REF!</f>
        <v>#REF!</v>
      </c>
      <c r="BE148" s="75" t="e">
        <f>AS148*#REF!</f>
        <v>#REF!</v>
      </c>
      <c r="BF148" s="75" t="e">
        <f>AT148*#REF!</f>
        <v>#REF!</v>
      </c>
      <c r="BG148" s="75" t="e">
        <f>AU148*#REF!</f>
        <v>#REF!</v>
      </c>
      <c r="BH148" s="75" t="e">
        <f>AV148*#REF!</f>
        <v>#REF!</v>
      </c>
      <c r="BI148" s="75" t="e">
        <f>AW148*#REF!</f>
        <v>#REF!</v>
      </c>
      <c r="BJ148" s="75" t="e">
        <f>AX148*#REF!</f>
        <v>#REF!</v>
      </c>
      <c r="BK148" s="75" t="e">
        <f>AY148*#REF!</f>
        <v>#REF!</v>
      </c>
      <c r="BL148" s="75" t="e">
        <f>AZ148*#REF!</f>
        <v>#REF!</v>
      </c>
      <c r="BM148" s="75" t="e">
        <f t="shared" si="43"/>
        <v>#REF!</v>
      </c>
      <c r="BN148" s="84" t="e">
        <f t="shared" si="44"/>
        <v>#REF!</v>
      </c>
      <c r="BP148" s="88">
        <v>27.987036841951117</v>
      </c>
      <c r="BQ148" s="88">
        <v>0.46129781345701715</v>
      </c>
    </row>
    <row r="149" spans="1:69" s="74" customFormat="1" ht="18">
      <c r="A149" s="70" t="s">
        <v>276</v>
      </c>
      <c r="B149" s="70">
        <v>123</v>
      </c>
      <c r="C149" s="70" t="s">
        <v>233</v>
      </c>
      <c r="D149" s="70" t="s">
        <v>86</v>
      </c>
      <c r="E149" s="77" t="s">
        <v>400</v>
      </c>
      <c r="F149" s="70"/>
      <c r="G149" s="70"/>
      <c r="H149" s="70" t="s">
        <v>412</v>
      </c>
      <c r="I149" s="70" t="s">
        <v>251</v>
      </c>
      <c r="J149" s="70">
        <v>74</v>
      </c>
      <c r="K149" s="70" t="s">
        <v>118</v>
      </c>
      <c r="L149" s="78" t="s">
        <v>254</v>
      </c>
      <c r="M149" s="70"/>
      <c r="N149" s="70"/>
      <c r="O149" s="70">
        <v>9.57</v>
      </c>
      <c r="P149" s="70">
        <v>1.18</v>
      </c>
      <c r="Q149" s="70">
        <v>0.34</v>
      </c>
      <c r="R149" s="70">
        <v>30</v>
      </c>
      <c r="S149" s="70">
        <v>287</v>
      </c>
      <c r="T149" s="79">
        <v>28.457780838012695</v>
      </c>
      <c r="U149" s="79">
        <v>26.18653678894043</v>
      </c>
      <c r="V149" s="79">
        <v>25.344223022460938</v>
      </c>
      <c r="W149" s="79">
        <v>26.146662712097168</v>
      </c>
      <c r="X149" s="79">
        <v>26.813159942626953</v>
      </c>
      <c r="Y149" s="79">
        <v>25.566082954406738</v>
      </c>
      <c r="Z149" s="79">
        <v>25.320465087890625</v>
      </c>
      <c r="AA149" s="79">
        <v>25.829936981201172</v>
      </c>
      <c r="AB149" s="79">
        <v>40</v>
      </c>
      <c r="AC149" s="79">
        <v>27.782329559326172</v>
      </c>
      <c r="AD149" s="79">
        <v>37.046100616455078</v>
      </c>
      <c r="AE149" s="79">
        <v>26.390216827392578</v>
      </c>
      <c r="AF149" s="79">
        <v>33.645772933959961</v>
      </c>
      <c r="AG149" s="79">
        <v>26.281037330627441</v>
      </c>
      <c r="AH149" s="79">
        <v>33.508443832397461</v>
      </c>
      <c r="AI149" s="79">
        <v>26.405971527099609</v>
      </c>
      <c r="AJ149" s="79">
        <v>36.63543701171875</v>
      </c>
      <c r="AK149" s="79">
        <v>26.218827247619629</v>
      </c>
      <c r="AL149" s="70" t="s">
        <v>251</v>
      </c>
      <c r="AM149" s="73">
        <f t="shared" si="33"/>
        <v>71.62182526431063</v>
      </c>
      <c r="AP149" s="70" t="s">
        <v>412</v>
      </c>
      <c r="AQ149" s="70" t="s">
        <v>251</v>
      </c>
      <c r="AR149" s="75">
        <f t="shared" si="34"/>
        <v>2.2712440490722656</v>
      </c>
      <c r="AS149" s="75">
        <f t="shared" si="35"/>
        <v>-0.80243968963623047</v>
      </c>
      <c r="AT149" s="75">
        <f t="shared" si="36"/>
        <v>1.2470769882202148</v>
      </c>
      <c r="AU149" s="75">
        <f t="shared" si="37"/>
        <v>-0.50947189331054688</v>
      </c>
      <c r="AV149" s="75">
        <f t="shared" si="38"/>
        <v>12.217670440673828</v>
      </c>
      <c r="AW149" s="75">
        <f t="shared" si="39"/>
        <v>10.6558837890625</v>
      </c>
      <c r="AX149" s="75">
        <f t="shared" si="40"/>
        <v>7.3647356033325195</v>
      </c>
      <c r="AY149" s="75">
        <f t="shared" si="41"/>
        <v>7.1024723052978516</v>
      </c>
      <c r="AZ149" s="75">
        <f t="shared" si="42"/>
        <v>10.416609764099121</v>
      </c>
      <c r="BA149" s="75"/>
      <c r="BB149" s="70" t="s">
        <v>412</v>
      </c>
      <c r="BC149" s="70" t="s">
        <v>251</v>
      </c>
      <c r="BD149" s="75" t="e">
        <f>AR149*#REF!</f>
        <v>#REF!</v>
      </c>
      <c r="BE149" s="75" t="e">
        <f>AS149*#REF!</f>
        <v>#REF!</v>
      </c>
      <c r="BF149" s="75" t="e">
        <f>AT149*#REF!</f>
        <v>#REF!</v>
      </c>
      <c r="BG149" s="75" t="e">
        <f>AU149*#REF!</f>
        <v>#REF!</v>
      </c>
      <c r="BH149" s="75" t="e">
        <f>AV149*#REF!</f>
        <v>#REF!</v>
      </c>
      <c r="BI149" s="75" t="e">
        <f>AW149*#REF!</f>
        <v>#REF!</v>
      </c>
      <c r="BJ149" s="75" t="e">
        <f>AX149*#REF!</f>
        <v>#REF!</v>
      </c>
      <c r="BK149" s="75" t="e">
        <f>AY149*#REF!</f>
        <v>#REF!</v>
      </c>
      <c r="BL149" s="75" t="e">
        <f>AZ149*#REF!</f>
        <v>#REF!</v>
      </c>
      <c r="BM149" s="75" t="e">
        <f t="shared" si="43"/>
        <v>#REF!</v>
      </c>
      <c r="BN149" s="84" t="e">
        <f t="shared" si="44"/>
        <v>#REF!</v>
      </c>
      <c r="BP149" s="88">
        <v>71.62182526431063</v>
      </c>
      <c r="BQ149" s="88">
        <v>0.45304433316755516</v>
      </c>
    </row>
    <row r="150" spans="1:69" s="74" customFormat="1" ht="18">
      <c r="A150" s="70" t="s">
        <v>276</v>
      </c>
      <c r="B150" s="70">
        <v>124</v>
      </c>
      <c r="C150" s="70" t="s">
        <v>235</v>
      </c>
      <c r="D150" s="70" t="s">
        <v>88</v>
      </c>
      <c r="E150" s="77" t="s">
        <v>401</v>
      </c>
      <c r="F150" s="70"/>
      <c r="G150" s="70"/>
      <c r="H150" s="70" t="s">
        <v>413</v>
      </c>
      <c r="I150" s="70" t="s">
        <v>251</v>
      </c>
      <c r="J150" s="80" t="s">
        <v>255</v>
      </c>
      <c r="K150" s="70" t="s">
        <v>184</v>
      </c>
      <c r="L150" s="78" t="s">
        <v>256</v>
      </c>
      <c r="M150" s="70"/>
      <c r="N150" s="70"/>
      <c r="O150" s="70">
        <v>13.34</v>
      </c>
      <c r="P150" s="70">
        <v>1.25</v>
      </c>
      <c r="Q150" s="70">
        <v>0.39</v>
      </c>
      <c r="R150" s="70">
        <v>30</v>
      </c>
      <c r="S150" s="70">
        <v>400.1</v>
      </c>
      <c r="T150" s="79">
        <v>26.635406494140625</v>
      </c>
      <c r="U150" s="79">
        <v>25.109439849853516</v>
      </c>
      <c r="V150" s="79">
        <v>25.93552303314209</v>
      </c>
      <c r="W150" s="79">
        <v>25.153440475463867</v>
      </c>
      <c r="X150" s="79">
        <v>25.457904815673828</v>
      </c>
      <c r="Y150" s="79">
        <v>24.46163272857666</v>
      </c>
      <c r="Z150" s="79">
        <v>25.43853759765625</v>
      </c>
      <c r="AA150" s="79">
        <v>24.94963550567627</v>
      </c>
      <c r="AB150" s="79">
        <v>38.967849731445312</v>
      </c>
      <c r="AC150" s="79">
        <v>26.687247276306152</v>
      </c>
      <c r="AD150" s="79">
        <v>34.956092834472656</v>
      </c>
      <c r="AE150" s="79">
        <v>25.318714141845703</v>
      </c>
      <c r="AF150" s="79">
        <v>33.981447219848633</v>
      </c>
      <c r="AG150" s="79">
        <v>25.202993392944336</v>
      </c>
      <c r="AH150" s="79">
        <v>31.393571853637695</v>
      </c>
      <c r="AI150" s="79">
        <v>25.324952125549316</v>
      </c>
      <c r="AJ150" s="79">
        <v>34.19080924987793</v>
      </c>
      <c r="AK150" s="79">
        <v>25.25679874420166</v>
      </c>
      <c r="AL150" s="70" t="s">
        <v>251</v>
      </c>
      <c r="AM150" s="73">
        <f t="shared" si="33"/>
        <v>10.438520326936407</v>
      </c>
      <c r="AP150" s="70" t="s">
        <v>413</v>
      </c>
      <c r="AQ150" s="70" t="s">
        <v>251</v>
      </c>
      <c r="AR150" s="75">
        <f t="shared" si="34"/>
        <v>1.5259666442871094</v>
      </c>
      <c r="AS150" s="75">
        <f t="shared" si="35"/>
        <v>0.78208255767822266</v>
      </c>
      <c r="AT150" s="75">
        <f t="shared" si="36"/>
        <v>0.99627208709716797</v>
      </c>
      <c r="AU150" s="75">
        <f t="shared" si="37"/>
        <v>0.48890209197998047</v>
      </c>
      <c r="AV150" s="75">
        <f t="shared" si="38"/>
        <v>12.28060245513916</v>
      </c>
      <c r="AW150" s="75">
        <f t="shared" si="39"/>
        <v>9.6373786926269531</v>
      </c>
      <c r="AX150" s="75">
        <f t="shared" si="40"/>
        <v>8.7784538269042969</v>
      </c>
      <c r="AY150" s="75">
        <f t="shared" si="41"/>
        <v>6.0686197280883789</v>
      </c>
      <c r="AZ150" s="75">
        <f t="shared" si="42"/>
        <v>8.9340105056762695</v>
      </c>
      <c r="BA150" s="75"/>
      <c r="BB150" s="70" t="s">
        <v>413</v>
      </c>
      <c r="BC150" s="70" t="s">
        <v>251</v>
      </c>
      <c r="BD150" s="75" t="e">
        <f>AR150*#REF!</f>
        <v>#REF!</v>
      </c>
      <c r="BE150" s="75" t="e">
        <f>AS150*#REF!</f>
        <v>#REF!</v>
      </c>
      <c r="BF150" s="75" t="e">
        <f>AT150*#REF!</f>
        <v>#REF!</v>
      </c>
      <c r="BG150" s="75" t="e">
        <f>AU150*#REF!</f>
        <v>#REF!</v>
      </c>
      <c r="BH150" s="75" t="e">
        <f>AV150*#REF!</f>
        <v>#REF!</v>
      </c>
      <c r="BI150" s="75" t="e">
        <f>AW150*#REF!</f>
        <v>#REF!</v>
      </c>
      <c r="BJ150" s="75" t="e">
        <f>AX150*#REF!</f>
        <v>#REF!</v>
      </c>
      <c r="BK150" s="75" t="e">
        <f>AY150*#REF!</f>
        <v>#REF!</v>
      </c>
      <c r="BL150" s="75" t="e">
        <f>AZ150*#REF!</f>
        <v>#REF!</v>
      </c>
      <c r="BM150" s="75" t="e">
        <f t="shared" si="43"/>
        <v>#REF!</v>
      </c>
      <c r="BN150" s="84" t="e">
        <f t="shared" si="44"/>
        <v>#REF!</v>
      </c>
      <c r="BP150" s="88">
        <v>10.438520326936407</v>
      </c>
      <c r="BQ150" s="88">
        <v>0.25592761393712804</v>
      </c>
    </row>
    <row r="151" spans="1:69" s="74" customFormat="1" ht="18">
      <c r="A151" s="70" t="s">
        <v>276</v>
      </c>
      <c r="B151" s="70">
        <v>125</v>
      </c>
      <c r="C151" s="70" t="s">
        <v>237</v>
      </c>
      <c r="D151" s="70" t="s">
        <v>257</v>
      </c>
      <c r="E151" s="77" t="s">
        <v>402</v>
      </c>
      <c r="F151" s="70"/>
      <c r="G151" s="70"/>
      <c r="H151" s="70" t="s">
        <v>414</v>
      </c>
      <c r="I151" s="70" t="s">
        <v>251</v>
      </c>
      <c r="J151" s="80" t="s">
        <v>258</v>
      </c>
      <c r="K151" s="70" t="s">
        <v>118</v>
      </c>
      <c r="L151" s="78" t="s">
        <v>259</v>
      </c>
      <c r="M151" s="70"/>
      <c r="N151" s="70"/>
      <c r="O151" s="70">
        <v>18.46</v>
      </c>
      <c r="P151" s="70">
        <v>1.3</v>
      </c>
      <c r="Q151" s="70">
        <v>0.42</v>
      </c>
      <c r="R151" s="70">
        <v>30</v>
      </c>
      <c r="S151" s="70">
        <v>553.9</v>
      </c>
      <c r="T151" s="79">
        <v>28.346919059753418</v>
      </c>
      <c r="U151" s="79">
        <v>26.746553421020508</v>
      </c>
      <c r="V151" s="79">
        <v>27.156764030456543</v>
      </c>
      <c r="W151" s="79">
        <v>26.856020927429199</v>
      </c>
      <c r="X151" s="79">
        <v>26.906167984008789</v>
      </c>
      <c r="Y151" s="79">
        <v>25.968973159790039</v>
      </c>
      <c r="Z151" s="79">
        <v>26.899556159973145</v>
      </c>
      <c r="AA151" s="79">
        <v>26.544415473937988</v>
      </c>
      <c r="AB151" s="79">
        <v>40</v>
      </c>
      <c r="AC151" s="79">
        <v>28.320038795471191</v>
      </c>
      <c r="AD151" s="79">
        <v>37.135629653930664</v>
      </c>
      <c r="AE151" s="79">
        <v>26.798751831054688</v>
      </c>
      <c r="AF151" s="79">
        <v>35.149057388305664</v>
      </c>
      <c r="AG151" s="79">
        <v>26.802975654602051</v>
      </c>
      <c r="AH151" s="79">
        <v>33.138967514038086</v>
      </c>
      <c r="AI151" s="79">
        <v>26.927122116088867</v>
      </c>
      <c r="AJ151" s="79">
        <v>36.545309066772461</v>
      </c>
      <c r="AK151" s="79">
        <v>26.967155456542969</v>
      </c>
      <c r="AL151" s="70" t="s">
        <v>251</v>
      </c>
      <c r="AM151" s="73">
        <f t="shared" si="33"/>
        <v>25.394572865920768</v>
      </c>
      <c r="AP151" s="70" t="s">
        <v>414</v>
      </c>
      <c r="AQ151" s="70" t="s">
        <v>251</v>
      </c>
      <c r="AR151" s="75">
        <f t="shared" si="34"/>
        <v>1.6003656387329102</v>
      </c>
      <c r="AS151" s="75">
        <f t="shared" si="35"/>
        <v>0.30074310302734375</v>
      </c>
      <c r="AT151" s="75">
        <f t="shared" si="36"/>
        <v>0.93719482421875</v>
      </c>
      <c r="AU151" s="75">
        <f t="shared" si="37"/>
        <v>0.35514068603515625</v>
      </c>
      <c r="AV151" s="75">
        <f t="shared" si="38"/>
        <v>11.679961204528809</v>
      </c>
      <c r="AW151" s="75">
        <f t="shared" si="39"/>
        <v>10.336877822875977</v>
      </c>
      <c r="AX151" s="75">
        <f t="shared" si="40"/>
        <v>8.3460817337036133</v>
      </c>
      <c r="AY151" s="75">
        <f t="shared" si="41"/>
        <v>6.2118453979492188</v>
      </c>
      <c r="AZ151" s="75">
        <f t="shared" si="42"/>
        <v>9.5781536102294922</v>
      </c>
      <c r="BA151" s="75"/>
      <c r="BB151" s="70" t="s">
        <v>414</v>
      </c>
      <c r="BC151" s="70" t="s">
        <v>251</v>
      </c>
      <c r="BD151" s="75" t="e">
        <f>AR151*#REF!</f>
        <v>#REF!</v>
      </c>
      <c r="BE151" s="75" t="e">
        <f>AS151*#REF!</f>
        <v>#REF!</v>
      </c>
      <c r="BF151" s="75" t="e">
        <f>AT151*#REF!</f>
        <v>#REF!</v>
      </c>
      <c r="BG151" s="75" t="e">
        <f>AU151*#REF!</f>
        <v>#REF!</v>
      </c>
      <c r="BH151" s="75" t="e">
        <f>AV151*#REF!</f>
        <v>#REF!</v>
      </c>
      <c r="BI151" s="75" t="e">
        <f>AW151*#REF!</f>
        <v>#REF!</v>
      </c>
      <c r="BJ151" s="75" t="e">
        <f>AX151*#REF!</f>
        <v>#REF!</v>
      </c>
      <c r="BK151" s="75" t="e">
        <f>AY151*#REF!</f>
        <v>#REF!</v>
      </c>
      <c r="BL151" s="75" t="e">
        <f>AZ151*#REF!</f>
        <v>#REF!</v>
      </c>
      <c r="BM151" s="75" t="e">
        <f t="shared" si="43"/>
        <v>#REF!</v>
      </c>
      <c r="BN151" s="84" t="e">
        <f t="shared" si="44"/>
        <v>#REF!</v>
      </c>
      <c r="BP151" s="88">
        <v>25.394572865920768</v>
      </c>
      <c r="BQ151" s="88">
        <v>0.39510408426041149</v>
      </c>
    </row>
    <row r="152" spans="1:69" s="74" customFormat="1" ht="18">
      <c r="A152" s="70" t="s">
        <v>276</v>
      </c>
      <c r="B152" s="70">
        <v>126</v>
      </c>
      <c r="C152" s="70" t="s">
        <v>241</v>
      </c>
      <c r="D152" s="70" t="s">
        <v>257</v>
      </c>
      <c r="E152" s="77" t="s">
        <v>402</v>
      </c>
      <c r="F152" s="70"/>
      <c r="G152" s="70"/>
      <c r="H152" s="70" t="s">
        <v>415</v>
      </c>
      <c r="I152" s="70" t="s">
        <v>251</v>
      </c>
      <c r="J152" s="80" t="s">
        <v>258</v>
      </c>
      <c r="K152" s="70" t="s">
        <v>118</v>
      </c>
      <c r="L152" s="78" t="s">
        <v>259</v>
      </c>
      <c r="M152" s="70"/>
      <c r="N152" s="70"/>
      <c r="O152" s="70">
        <v>17.010000000000002</v>
      </c>
      <c r="P152" s="70">
        <v>1.29</v>
      </c>
      <c r="Q152" s="70">
        <v>0.41</v>
      </c>
      <c r="R152" s="70">
        <v>30</v>
      </c>
      <c r="S152" s="70">
        <v>510.4</v>
      </c>
      <c r="T152" s="79">
        <v>28.887152671813965</v>
      </c>
      <c r="U152" s="79">
        <v>25.958392143249512</v>
      </c>
      <c r="V152" s="79">
        <v>26.799737930297852</v>
      </c>
      <c r="W152" s="79">
        <v>25.811455726623535</v>
      </c>
      <c r="X152" s="79">
        <v>27.275318145751935</v>
      </c>
      <c r="Y152" s="79">
        <v>25.022581100463867</v>
      </c>
      <c r="Z152" s="79">
        <v>28.036161422729492</v>
      </c>
      <c r="AA152" s="79">
        <v>25.570493698120117</v>
      </c>
      <c r="AB152" s="79">
        <v>40</v>
      </c>
      <c r="AC152" s="79">
        <v>27.361522674560547</v>
      </c>
      <c r="AD152" s="79">
        <v>37.159219741821289</v>
      </c>
      <c r="AE152" s="79">
        <v>25.778334617614746</v>
      </c>
      <c r="AF152" s="79">
        <v>34.762302398681641</v>
      </c>
      <c r="AG152" s="79">
        <v>25.769420623779297</v>
      </c>
      <c r="AH152" s="79">
        <v>32.504926681518555</v>
      </c>
      <c r="AI152" s="79">
        <v>25.883640289306641</v>
      </c>
      <c r="AJ152" s="79">
        <v>35.889270782470703</v>
      </c>
      <c r="AK152" s="79">
        <v>25.966032981872559</v>
      </c>
      <c r="AL152" s="70" t="s">
        <v>251</v>
      </c>
      <c r="AM152" s="73">
        <f t="shared" si="33"/>
        <v>13.853033076469885</v>
      </c>
      <c r="AP152" s="70" t="s">
        <v>415</v>
      </c>
      <c r="AQ152" s="70" t="s">
        <v>251</v>
      </c>
      <c r="AR152" s="75">
        <f t="shared" si="34"/>
        <v>2.9287605285644531</v>
      </c>
      <c r="AS152" s="75">
        <f t="shared" si="35"/>
        <v>0.98828220367431641</v>
      </c>
      <c r="AT152" s="75">
        <f t="shared" si="36"/>
        <v>2.2527370452880682</v>
      </c>
      <c r="AU152" s="75">
        <f t="shared" si="37"/>
        <v>2.465667724609375</v>
      </c>
      <c r="AV152" s="75">
        <f t="shared" si="38"/>
        <v>12.638477325439453</v>
      </c>
      <c r="AW152" s="75">
        <f t="shared" si="39"/>
        <v>11.380885124206543</v>
      </c>
      <c r="AX152" s="75">
        <f t="shared" si="40"/>
        <v>8.9928817749023438</v>
      </c>
      <c r="AY152" s="75">
        <f t="shared" si="41"/>
        <v>6.6212863922119141</v>
      </c>
      <c r="AZ152" s="75">
        <f t="shared" si="42"/>
        <v>9.9232378005981445</v>
      </c>
      <c r="BA152" s="75"/>
      <c r="BB152" s="70" t="s">
        <v>415</v>
      </c>
      <c r="BC152" s="70" t="s">
        <v>251</v>
      </c>
      <c r="BD152" s="75" t="e">
        <f>AR152*#REF!</f>
        <v>#REF!</v>
      </c>
      <c r="BE152" s="75" t="e">
        <f>AS152*#REF!</f>
        <v>#REF!</v>
      </c>
      <c r="BF152" s="75" t="e">
        <f>AT152*#REF!</f>
        <v>#REF!</v>
      </c>
      <c r="BG152" s="75" t="e">
        <f>AU152*#REF!</f>
        <v>#REF!</v>
      </c>
      <c r="BH152" s="75" t="e">
        <f>AV152*#REF!</f>
        <v>#REF!</v>
      </c>
      <c r="BI152" s="75" t="e">
        <f>AW152*#REF!</f>
        <v>#REF!</v>
      </c>
      <c r="BJ152" s="75" t="e">
        <f>AX152*#REF!</f>
        <v>#REF!</v>
      </c>
      <c r="BK152" s="75" t="e">
        <f>AY152*#REF!</f>
        <v>#REF!</v>
      </c>
      <c r="BL152" s="75" t="e">
        <f>AZ152*#REF!</f>
        <v>#REF!</v>
      </c>
      <c r="BM152" s="75" t="e">
        <f t="shared" si="43"/>
        <v>#REF!</v>
      </c>
      <c r="BN152" s="84" t="e">
        <f t="shared" si="44"/>
        <v>#REF!</v>
      </c>
      <c r="BP152" s="88">
        <v>13.853033076469885</v>
      </c>
      <c r="BQ152" s="88">
        <v>0.27534487682243813</v>
      </c>
    </row>
    <row r="153" spans="1:69" s="74" customFormat="1" ht="18">
      <c r="A153" s="70" t="s">
        <v>276</v>
      </c>
      <c r="B153" s="70">
        <v>127</v>
      </c>
      <c r="C153" s="70" t="s">
        <v>242</v>
      </c>
      <c r="D153" s="70" t="s">
        <v>260</v>
      </c>
      <c r="E153" s="77" t="s">
        <v>403</v>
      </c>
      <c r="F153" s="70"/>
      <c r="G153" s="70"/>
      <c r="H153" s="70" t="s">
        <v>416</v>
      </c>
      <c r="I153" s="70" t="s">
        <v>251</v>
      </c>
      <c r="J153" s="80" t="s">
        <v>261</v>
      </c>
      <c r="K153" s="70" t="s">
        <v>118</v>
      </c>
      <c r="L153" s="78" t="s">
        <v>262</v>
      </c>
      <c r="M153" s="70"/>
      <c r="N153" s="70"/>
      <c r="O153" s="70">
        <v>14.38</v>
      </c>
      <c r="P153" s="70">
        <v>1.24</v>
      </c>
      <c r="Q153" s="70">
        <v>0.38</v>
      </c>
      <c r="R153" s="70">
        <v>30</v>
      </c>
      <c r="S153" s="70">
        <v>431.4</v>
      </c>
      <c r="T153" s="79">
        <v>29.520524024963379</v>
      </c>
      <c r="U153" s="79">
        <v>25.941027641296387</v>
      </c>
      <c r="V153" s="79">
        <v>27.315655708312988</v>
      </c>
      <c r="W153" s="79">
        <v>25.806405067443848</v>
      </c>
      <c r="X153" s="79">
        <v>26.562544822692871</v>
      </c>
      <c r="Y153" s="79">
        <v>24.741936683654785</v>
      </c>
      <c r="Z153" s="79">
        <v>27.875408172607422</v>
      </c>
      <c r="AA153" s="79">
        <v>25.576419830322266</v>
      </c>
      <c r="AB153" s="79">
        <v>39.991943359375</v>
      </c>
      <c r="AC153" s="79">
        <v>27.430773735046387</v>
      </c>
      <c r="AD153" s="79">
        <v>37.252754211425781</v>
      </c>
      <c r="AE153" s="79">
        <v>25.813763618469238</v>
      </c>
      <c r="AF153" s="79">
        <v>34.01971435546875</v>
      </c>
      <c r="AG153" s="79">
        <v>25.823981285095215</v>
      </c>
      <c r="AH153" s="79">
        <v>33.427972793579102</v>
      </c>
      <c r="AI153" s="79">
        <v>26.057320594787598</v>
      </c>
      <c r="AJ153" s="79">
        <v>35.082561492919922</v>
      </c>
      <c r="AK153" s="79">
        <v>25.799295425415039</v>
      </c>
      <c r="AL153" s="70" t="s">
        <v>251</v>
      </c>
      <c r="AM153" s="73">
        <f t="shared" si="33"/>
        <v>49.760365036922657</v>
      </c>
      <c r="AP153" s="70" t="s">
        <v>416</v>
      </c>
      <c r="AQ153" s="70" t="s">
        <v>251</v>
      </c>
      <c r="AR153" s="75">
        <f t="shared" si="34"/>
        <v>3.5794963836669922</v>
      </c>
      <c r="AS153" s="75">
        <f t="shared" si="35"/>
        <v>1.5092506408691406</v>
      </c>
      <c r="AT153" s="75">
        <f t="shared" si="36"/>
        <v>1.8206081390380859</v>
      </c>
      <c r="AU153" s="75">
        <f t="shared" si="37"/>
        <v>2.2989883422851562</v>
      </c>
      <c r="AV153" s="75">
        <f t="shared" si="38"/>
        <v>12.561169624328613</v>
      </c>
      <c r="AW153" s="75">
        <f t="shared" si="39"/>
        <v>11.438990592956543</v>
      </c>
      <c r="AX153" s="75">
        <f t="shared" si="40"/>
        <v>8.1957330703735352</v>
      </c>
      <c r="AY153" s="75">
        <f t="shared" si="41"/>
        <v>7.3706521987915039</v>
      </c>
      <c r="AZ153" s="75">
        <f t="shared" si="42"/>
        <v>9.2832660675048828</v>
      </c>
      <c r="BA153" s="75"/>
      <c r="BB153" s="70" t="s">
        <v>416</v>
      </c>
      <c r="BC153" s="70" t="s">
        <v>251</v>
      </c>
      <c r="BD153" s="75" t="e">
        <f>AR153*#REF!</f>
        <v>#REF!</v>
      </c>
      <c r="BE153" s="75" t="e">
        <f>AS153*#REF!</f>
        <v>#REF!</v>
      </c>
      <c r="BF153" s="75" t="e">
        <f>AT153*#REF!</f>
        <v>#REF!</v>
      </c>
      <c r="BG153" s="75" t="e">
        <f>AU153*#REF!</f>
        <v>#REF!</v>
      </c>
      <c r="BH153" s="75" t="e">
        <f>AV153*#REF!</f>
        <v>#REF!</v>
      </c>
      <c r="BI153" s="75" t="e">
        <f>AW153*#REF!</f>
        <v>#REF!</v>
      </c>
      <c r="BJ153" s="75" t="e">
        <f>AX153*#REF!</f>
        <v>#REF!</v>
      </c>
      <c r="BK153" s="75" t="e">
        <f>AY153*#REF!</f>
        <v>#REF!</v>
      </c>
      <c r="BL153" s="75" t="e">
        <f>AZ153*#REF!</f>
        <v>#REF!</v>
      </c>
      <c r="BM153" s="75" t="e">
        <f t="shared" si="43"/>
        <v>#REF!</v>
      </c>
      <c r="BN153" s="84" t="e">
        <f t="shared" si="44"/>
        <v>#REF!</v>
      </c>
      <c r="BP153" s="88">
        <v>49.760365036922657</v>
      </c>
      <c r="BQ153" s="88">
        <v>0.39422847486990859</v>
      </c>
    </row>
    <row r="154" spans="1:69" s="74" customFormat="1" ht="18">
      <c r="A154" s="70" t="s">
        <v>276</v>
      </c>
      <c r="B154" s="70">
        <v>128</v>
      </c>
      <c r="C154" s="70" t="s">
        <v>246</v>
      </c>
      <c r="D154" s="70" t="s">
        <v>260</v>
      </c>
      <c r="E154" s="77" t="s">
        <v>403</v>
      </c>
      <c r="F154" s="70"/>
      <c r="G154" s="70"/>
      <c r="H154" s="70" t="s">
        <v>417</v>
      </c>
      <c r="I154" s="70" t="s">
        <v>251</v>
      </c>
      <c r="J154" s="80" t="s">
        <v>261</v>
      </c>
      <c r="K154" s="70" t="s">
        <v>118</v>
      </c>
      <c r="L154" s="78" t="s">
        <v>262</v>
      </c>
      <c r="M154" s="70"/>
      <c r="N154" s="70"/>
      <c r="O154" s="70">
        <v>14.17</v>
      </c>
      <c r="P154" s="70">
        <v>1.25</v>
      </c>
      <c r="Q154" s="70">
        <v>0.4</v>
      </c>
      <c r="R154" s="70">
        <v>30</v>
      </c>
      <c r="S154" s="70">
        <v>425.2</v>
      </c>
      <c r="T154" s="79">
        <v>28.839886665344238</v>
      </c>
      <c r="U154" s="79">
        <v>25.269469261169434</v>
      </c>
      <c r="V154" s="79">
        <v>26.918182373046875</v>
      </c>
      <c r="W154" s="79">
        <v>25.262572288513184</v>
      </c>
      <c r="X154" s="79">
        <v>26.142482757568359</v>
      </c>
      <c r="Y154" s="79">
        <v>24.270434379577637</v>
      </c>
      <c r="Z154" s="79">
        <v>27.786149024963379</v>
      </c>
      <c r="AA154" s="79">
        <v>24.995038032531738</v>
      </c>
      <c r="AB154" s="79">
        <v>40</v>
      </c>
      <c r="AC154" s="79">
        <v>26.720840454101562</v>
      </c>
      <c r="AD154" s="79">
        <v>37.671119689941406</v>
      </c>
      <c r="AE154" s="79">
        <v>25.267793655395508</v>
      </c>
      <c r="AF154" s="79">
        <v>34.033105850219727</v>
      </c>
      <c r="AG154" s="79">
        <v>25.145330429077148</v>
      </c>
      <c r="AH154" s="79">
        <v>33.141456604003906</v>
      </c>
      <c r="AI154" s="79">
        <v>25.234478950500488</v>
      </c>
      <c r="AJ154" s="79">
        <v>35.330608367919922</v>
      </c>
      <c r="AK154" s="79">
        <v>25.192907333374023</v>
      </c>
      <c r="AL154" s="70" t="s">
        <v>251</v>
      </c>
      <c r="AM154" s="73">
        <f t="shared" si="33"/>
        <v>18.325497905821305</v>
      </c>
      <c r="AP154" s="70" t="s">
        <v>417</v>
      </c>
      <c r="AQ154" s="70" t="s">
        <v>251</v>
      </c>
      <c r="AR154" s="75">
        <f t="shared" si="34"/>
        <v>3.5704174041748047</v>
      </c>
      <c r="AS154" s="75">
        <f t="shared" si="35"/>
        <v>1.6556100845336914</v>
      </c>
      <c r="AT154" s="75">
        <f t="shared" si="36"/>
        <v>1.8720483779907227</v>
      </c>
      <c r="AU154" s="75">
        <f t="shared" si="37"/>
        <v>2.7911109924316406</v>
      </c>
      <c r="AV154" s="75">
        <f t="shared" si="38"/>
        <v>13.279159545898438</v>
      </c>
      <c r="AW154" s="75">
        <f t="shared" si="39"/>
        <v>12.403326034545898</v>
      </c>
      <c r="AX154" s="75">
        <f t="shared" si="40"/>
        <v>8.8877754211425781</v>
      </c>
      <c r="AY154" s="75">
        <f t="shared" si="41"/>
        <v>7.906977653503418</v>
      </c>
      <c r="AZ154" s="75">
        <f t="shared" si="42"/>
        <v>10.137701034545898</v>
      </c>
      <c r="BA154" s="75"/>
      <c r="BB154" s="70" t="s">
        <v>417</v>
      </c>
      <c r="BC154" s="70" t="s">
        <v>251</v>
      </c>
      <c r="BD154" s="75" t="e">
        <f>AR154*#REF!</f>
        <v>#REF!</v>
      </c>
      <c r="BE154" s="75" t="e">
        <f>AS154*#REF!</f>
        <v>#REF!</v>
      </c>
      <c r="BF154" s="75" t="e">
        <f>AT154*#REF!</f>
        <v>#REF!</v>
      </c>
      <c r="BG154" s="75" t="e">
        <f>AU154*#REF!</f>
        <v>#REF!</v>
      </c>
      <c r="BH154" s="75" t="e">
        <f>AV154*#REF!</f>
        <v>#REF!</v>
      </c>
      <c r="BI154" s="75" t="e">
        <f>AW154*#REF!</f>
        <v>#REF!</v>
      </c>
      <c r="BJ154" s="75" t="e">
        <f>AX154*#REF!</f>
        <v>#REF!</v>
      </c>
      <c r="BK154" s="75" t="e">
        <f>AY154*#REF!</f>
        <v>#REF!</v>
      </c>
      <c r="BL154" s="75" t="e">
        <f>AZ154*#REF!</f>
        <v>#REF!</v>
      </c>
      <c r="BM154" s="75" t="e">
        <f t="shared" si="43"/>
        <v>#REF!</v>
      </c>
      <c r="BN154" s="84" t="e">
        <f t="shared" si="44"/>
        <v>#REF!</v>
      </c>
      <c r="BP154" s="88">
        <v>18.325497905821305</v>
      </c>
      <c r="BQ154" s="88">
        <v>0.2181806004876235</v>
      </c>
    </row>
    <row r="155" spans="1:69" s="74" customFormat="1" ht="18">
      <c r="A155" s="70" t="s">
        <v>276</v>
      </c>
      <c r="B155" s="70">
        <v>129</v>
      </c>
      <c r="C155" s="70" t="s">
        <v>247</v>
      </c>
      <c r="D155" s="70" t="s">
        <v>263</v>
      </c>
      <c r="E155" s="77" t="s">
        <v>404</v>
      </c>
      <c r="F155" s="70"/>
      <c r="G155" s="70"/>
      <c r="H155" s="70" t="s">
        <v>418</v>
      </c>
      <c r="I155" s="70" t="s">
        <v>251</v>
      </c>
      <c r="J155" s="80" t="s">
        <v>264</v>
      </c>
      <c r="K155" s="70" t="s">
        <v>118</v>
      </c>
      <c r="L155" s="78" t="s">
        <v>265</v>
      </c>
      <c r="M155" s="70"/>
      <c r="N155" s="70"/>
      <c r="O155" s="70">
        <v>24.5</v>
      </c>
      <c r="P155" s="70">
        <v>1.34</v>
      </c>
      <c r="Q155" s="70">
        <v>0.44</v>
      </c>
      <c r="R155" s="70">
        <v>30</v>
      </c>
      <c r="S155" s="70">
        <v>735</v>
      </c>
      <c r="T155" s="79">
        <v>29.762050628662109</v>
      </c>
      <c r="U155" s="79">
        <v>24.439927101135254</v>
      </c>
      <c r="V155" s="79">
        <v>26.518332481384277</v>
      </c>
      <c r="W155" s="79">
        <v>24.426630973815918</v>
      </c>
      <c r="X155" s="79">
        <v>28.104642868041992</v>
      </c>
      <c r="Y155" s="79">
        <v>24.096487045288086</v>
      </c>
      <c r="Z155" s="79">
        <v>27.730339050292969</v>
      </c>
      <c r="AA155" s="79">
        <v>24.313339233398438</v>
      </c>
      <c r="AB155" s="79">
        <v>40</v>
      </c>
      <c r="AC155" s="79">
        <v>25.764320373535156</v>
      </c>
      <c r="AD155" s="79">
        <v>37.854877471923828</v>
      </c>
      <c r="AE155" s="79">
        <v>24.413813591003418</v>
      </c>
      <c r="AF155" s="79">
        <v>33.845054626464844</v>
      </c>
      <c r="AG155" s="79">
        <v>24.322654724121094</v>
      </c>
      <c r="AH155" s="79">
        <v>34.738697052001953</v>
      </c>
      <c r="AI155" s="79">
        <v>24.479971885681152</v>
      </c>
      <c r="AJ155" s="79">
        <v>35.90092658996582</v>
      </c>
      <c r="AK155" s="79">
        <v>24.414936065673828</v>
      </c>
      <c r="AL155" s="70" t="s">
        <v>251</v>
      </c>
      <c r="AM155" s="73">
        <f t="shared" si="33"/>
        <v>12.586383752716083</v>
      </c>
      <c r="AP155" s="70" t="s">
        <v>418</v>
      </c>
      <c r="AQ155" s="70" t="s">
        <v>251</v>
      </c>
      <c r="AR155" s="75">
        <f t="shared" si="34"/>
        <v>5.3221235275268555</v>
      </c>
      <c r="AS155" s="75">
        <f t="shared" si="35"/>
        <v>2.0917015075683594</v>
      </c>
      <c r="AT155" s="75">
        <f t="shared" si="36"/>
        <v>4.0081558227539062</v>
      </c>
      <c r="AU155" s="75">
        <f t="shared" si="37"/>
        <v>3.4169998168945312</v>
      </c>
      <c r="AV155" s="75">
        <f t="shared" si="38"/>
        <v>14.235679626464844</v>
      </c>
      <c r="AW155" s="75">
        <f t="shared" si="39"/>
        <v>13.44106388092041</v>
      </c>
      <c r="AX155" s="75">
        <f t="shared" si="40"/>
        <v>9.52239990234375</v>
      </c>
      <c r="AY155" s="75">
        <f t="shared" si="41"/>
        <v>10.258725166320801</v>
      </c>
      <c r="AZ155" s="75">
        <f t="shared" si="42"/>
        <v>11.485990524291992</v>
      </c>
      <c r="BA155" s="75"/>
      <c r="BB155" s="70" t="s">
        <v>418</v>
      </c>
      <c r="BC155" s="70" t="s">
        <v>251</v>
      </c>
      <c r="BD155" s="75" t="e">
        <f>AR155*#REF!</f>
        <v>#REF!</v>
      </c>
      <c r="BE155" s="75" t="e">
        <f>AS155*#REF!</f>
        <v>#REF!</v>
      </c>
      <c r="BF155" s="75" t="e">
        <f>AT155*#REF!</f>
        <v>#REF!</v>
      </c>
      <c r="BG155" s="75" t="e">
        <f>AU155*#REF!</f>
        <v>#REF!</v>
      </c>
      <c r="BH155" s="75" t="e">
        <f>AV155*#REF!</f>
        <v>#REF!</v>
      </c>
      <c r="BI155" s="75" t="e">
        <f>AW155*#REF!</f>
        <v>#REF!</v>
      </c>
      <c r="BJ155" s="75" t="e">
        <f>AX155*#REF!</f>
        <v>#REF!</v>
      </c>
      <c r="BK155" s="75" t="e">
        <f>AY155*#REF!</f>
        <v>#REF!</v>
      </c>
      <c r="BL155" s="75" t="e">
        <f>AZ155*#REF!</f>
        <v>#REF!</v>
      </c>
      <c r="BM155" s="75" t="e">
        <f t="shared" si="43"/>
        <v>#REF!</v>
      </c>
      <c r="BN155" s="84" t="e">
        <f t="shared" si="44"/>
        <v>#REF!</v>
      </c>
      <c r="BP155" s="88">
        <v>12.586383752716083</v>
      </c>
      <c r="BQ155" s="88">
        <v>5.2247922227245544E-2</v>
      </c>
    </row>
    <row r="156" spans="1:69" s="74" customFormat="1" ht="18">
      <c r="A156" s="70" t="s">
        <v>276</v>
      </c>
      <c r="B156" s="70">
        <v>130</v>
      </c>
      <c r="C156" s="70" t="s">
        <v>249</v>
      </c>
      <c r="D156" s="70" t="s">
        <v>263</v>
      </c>
      <c r="E156" s="77" t="s">
        <v>404</v>
      </c>
      <c r="F156" s="70"/>
      <c r="G156" s="70"/>
      <c r="H156" s="70" t="s">
        <v>419</v>
      </c>
      <c r="I156" s="70" t="s">
        <v>251</v>
      </c>
      <c r="J156" s="80" t="s">
        <v>264</v>
      </c>
      <c r="K156" s="70" t="s">
        <v>118</v>
      </c>
      <c r="L156" s="78" t="s">
        <v>265</v>
      </c>
      <c r="M156" s="70"/>
      <c r="N156" s="70"/>
      <c r="O156" s="70">
        <v>22.7</v>
      </c>
      <c r="P156" s="70">
        <v>1.31</v>
      </c>
      <c r="Q156" s="70">
        <v>0.41</v>
      </c>
      <c r="R156" s="70">
        <v>30</v>
      </c>
      <c r="S156" s="70">
        <v>681</v>
      </c>
      <c r="T156" s="79">
        <v>32.739505767822266</v>
      </c>
      <c r="U156" s="79">
        <v>24.291369438171387</v>
      </c>
      <c r="V156" s="79">
        <v>27.294625282287598</v>
      </c>
      <c r="W156" s="79">
        <v>23.978889465332031</v>
      </c>
      <c r="X156" s="79">
        <v>28.570903778076172</v>
      </c>
      <c r="Y156" s="79">
        <v>23.90019416809082</v>
      </c>
      <c r="Z156" s="79">
        <v>27.935166358947754</v>
      </c>
      <c r="AA156" s="79">
        <v>23.89047908782959</v>
      </c>
      <c r="AB156" s="79">
        <v>40</v>
      </c>
      <c r="AC156" s="79">
        <v>25.410544395446777</v>
      </c>
      <c r="AD156" s="79">
        <v>39.677305221557617</v>
      </c>
      <c r="AE156" s="79">
        <v>24.072454452514648</v>
      </c>
      <c r="AF156" s="79">
        <v>35.23944091796875</v>
      </c>
      <c r="AG156" s="79">
        <v>23.951230049133301</v>
      </c>
      <c r="AH156" s="79">
        <v>35.601902008056641</v>
      </c>
      <c r="AI156" s="79">
        <v>24.255754470825195</v>
      </c>
      <c r="AJ156" s="79">
        <v>36.054927825927734</v>
      </c>
      <c r="AK156" s="79">
        <v>23.954986572265625</v>
      </c>
      <c r="AL156" s="70" t="s">
        <v>251</v>
      </c>
      <c r="AM156" s="73">
        <f t="shared" si="33"/>
        <v>3.0339605759130217</v>
      </c>
      <c r="AP156" s="70" t="s">
        <v>419</v>
      </c>
      <c r="AQ156" s="70" t="s">
        <v>251</v>
      </c>
      <c r="AR156" s="75">
        <f t="shared" si="34"/>
        <v>8.4481363296508789</v>
      </c>
      <c r="AS156" s="75">
        <f t="shared" si="35"/>
        <v>3.3157358169555664</v>
      </c>
      <c r="AT156" s="75">
        <f t="shared" si="36"/>
        <v>4.6707096099853516</v>
      </c>
      <c r="AU156" s="75">
        <f t="shared" si="37"/>
        <v>4.0446872711181641</v>
      </c>
      <c r="AV156" s="75">
        <f t="shared" si="38"/>
        <v>14.589455604553223</v>
      </c>
      <c r="AW156" s="75">
        <f t="shared" si="39"/>
        <v>15.604850769042969</v>
      </c>
      <c r="AX156" s="75">
        <f t="shared" si="40"/>
        <v>11.288210868835449</v>
      </c>
      <c r="AY156" s="75">
        <f t="shared" si="41"/>
        <v>11.346147537231445</v>
      </c>
      <c r="AZ156" s="75">
        <f t="shared" si="42"/>
        <v>12.099941253662109</v>
      </c>
      <c r="BA156" s="75"/>
      <c r="BB156" s="70" t="s">
        <v>419</v>
      </c>
      <c r="BC156" s="70" t="s">
        <v>251</v>
      </c>
      <c r="BD156" s="75" t="e">
        <f>AR156*#REF!</f>
        <v>#REF!</v>
      </c>
      <c r="BE156" s="75" t="e">
        <f>AS156*#REF!</f>
        <v>#REF!</v>
      </c>
      <c r="BF156" s="75" t="e">
        <f>AT156*#REF!</f>
        <v>#REF!</v>
      </c>
      <c r="BG156" s="75" t="e">
        <f>AU156*#REF!</f>
        <v>#REF!</v>
      </c>
      <c r="BH156" s="75" t="e">
        <f>AV156*#REF!</f>
        <v>#REF!</v>
      </c>
      <c r="BI156" s="75" t="e">
        <f>AW156*#REF!</f>
        <v>#REF!</v>
      </c>
      <c r="BJ156" s="75" t="e">
        <f>AX156*#REF!</f>
        <v>#REF!</v>
      </c>
      <c r="BK156" s="75" t="e">
        <f>AY156*#REF!</f>
        <v>#REF!</v>
      </c>
      <c r="BL156" s="75" t="e">
        <f>AZ156*#REF!</f>
        <v>#REF!</v>
      </c>
      <c r="BM156" s="75" t="e">
        <f t="shared" si="43"/>
        <v>#REF!</v>
      </c>
      <c r="BN156" s="84" t="e">
        <f t="shared" si="44"/>
        <v>#REF!</v>
      </c>
      <c r="BP156" s="88">
        <v>3.0339605759130217</v>
      </c>
      <c r="BQ156" s="88">
        <v>9.4407403691240191E-3</v>
      </c>
    </row>
    <row r="157" spans="1:69" s="74" customFormat="1" ht="18">
      <c r="A157" s="70" t="s">
        <v>276</v>
      </c>
      <c r="B157" s="70">
        <v>131</v>
      </c>
      <c r="C157" s="70" t="s">
        <v>266</v>
      </c>
      <c r="D157" s="70" t="s">
        <v>267</v>
      </c>
      <c r="E157" s="77" t="s">
        <v>405</v>
      </c>
      <c r="F157" s="70"/>
      <c r="G157" s="70"/>
      <c r="H157" s="70" t="s">
        <v>420</v>
      </c>
      <c r="I157" s="70" t="s">
        <v>251</v>
      </c>
      <c r="J157" s="80" t="s">
        <v>268</v>
      </c>
      <c r="K157" s="70" t="s">
        <v>118</v>
      </c>
      <c r="L157" s="78" t="s">
        <v>269</v>
      </c>
      <c r="M157" s="70"/>
      <c r="N157" s="70"/>
      <c r="O157" s="70">
        <v>28.65</v>
      </c>
      <c r="P157" s="70">
        <v>1.33</v>
      </c>
      <c r="Q157" s="70">
        <v>0.43</v>
      </c>
      <c r="R157" s="70">
        <v>30</v>
      </c>
      <c r="S157" s="70">
        <v>859.4</v>
      </c>
      <c r="T157" s="79">
        <v>28.217110633850098</v>
      </c>
      <c r="U157" s="79">
        <v>25.159775733947754</v>
      </c>
      <c r="V157" s="79">
        <v>26.020964622497559</v>
      </c>
      <c r="W157" s="79">
        <v>25.262591361999512</v>
      </c>
      <c r="X157" s="79">
        <v>27.120444297790527</v>
      </c>
      <c r="Y157" s="79">
        <v>24.771608352661133</v>
      </c>
      <c r="Z157" s="79">
        <v>25.56925106048584</v>
      </c>
      <c r="AA157" s="79">
        <v>24.956825256347656</v>
      </c>
      <c r="AB157" s="79">
        <v>38.653678894042969</v>
      </c>
      <c r="AC157" s="79">
        <v>26.933741569519043</v>
      </c>
      <c r="AD157" s="79">
        <v>38.377803802490234</v>
      </c>
      <c r="AE157" s="79">
        <v>25.303689956665039</v>
      </c>
      <c r="AF157" s="79">
        <v>33.733680725097656</v>
      </c>
      <c r="AG157" s="79">
        <v>25.195716857910156</v>
      </c>
      <c r="AH157" s="79">
        <v>33.394832611083984</v>
      </c>
      <c r="AI157" s="79">
        <v>25.494996070861816</v>
      </c>
      <c r="AJ157" s="79">
        <v>36.462123870849609</v>
      </c>
      <c r="AK157" s="79">
        <v>25.317648887634277</v>
      </c>
      <c r="AL157" s="70" t="s">
        <v>251</v>
      </c>
      <c r="AM157" s="73">
        <f t="shared" si="33"/>
        <v>36.714307476170873</v>
      </c>
      <c r="AP157" s="70" t="s">
        <v>420</v>
      </c>
      <c r="AQ157" s="70" t="s">
        <v>251</v>
      </c>
      <c r="AR157" s="75">
        <f t="shared" si="34"/>
        <v>3.0573348999023438</v>
      </c>
      <c r="AS157" s="75">
        <f t="shared" si="35"/>
        <v>0.75837326049804688</v>
      </c>
      <c r="AT157" s="75">
        <f t="shared" si="36"/>
        <v>2.3488359451293945</v>
      </c>
      <c r="AU157" s="75">
        <f t="shared" si="37"/>
        <v>0.61242580413818359</v>
      </c>
      <c r="AV157" s="75">
        <f t="shared" si="38"/>
        <v>11.719937324523926</v>
      </c>
      <c r="AW157" s="75">
        <f t="shared" si="39"/>
        <v>13.074113845825195</v>
      </c>
      <c r="AX157" s="75">
        <f t="shared" si="40"/>
        <v>8.5379638671875</v>
      </c>
      <c r="AY157" s="75">
        <f t="shared" si="41"/>
        <v>7.899836540222168</v>
      </c>
      <c r="AZ157" s="75">
        <f t="shared" si="42"/>
        <v>11.144474983215332</v>
      </c>
      <c r="BA157" s="75"/>
      <c r="BB157" s="70" t="s">
        <v>420</v>
      </c>
      <c r="BC157" s="70" t="s">
        <v>251</v>
      </c>
      <c r="BD157" s="75" t="e">
        <f>AR157*#REF!</f>
        <v>#REF!</v>
      </c>
      <c r="BE157" s="75" t="e">
        <f>AS157*#REF!</f>
        <v>#REF!</v>
      </c>
      <c r="BF157" s="75" t="e">
        <f>AT157*#REF!</f>
        <v>#REF!</v>
      </c>
      <c r="BG157" s="75" t="e">
        <f>AU157*#REF!</f>
        <v>#REF!</v>
      </c>
      <c r="BH157" s="75" t="e">
        <f>AV157*#REF!</f>
        <v>#REF!</v>
      </c>
      <c r="BI157" s="75" t="e">
        <f>AW157*#REF!</f>
        <v>#REF!</v>
      </c>
      <c r="BJ157" s="75" t="e">
        <f>AX157*#REF!</f>
        <v>#REF!</v>
      </c>
      <c r="BK157" s="75" t="e">
        <f>AY157*#REF!</f>
        <v>#REF!</v>
      </c>
      <c r="BL157" s="75" t="e">
        <f>AZ157*#REF!</f>
        <v>#REF!</v>
      </c>
      <c r="BM157" s="75" t="e">
        <f t="shared" si="43"/>
        <v>#REF!</v>
      </c>
      <c r="BN157" s="84" t="e">
        <f t="shared" si="44"/>
        <v>#REF!</v>
      </c>
      <c r="BP157" s="88">
        <v>36.714307476170873</v>
      </c>
      <c r="BQ157" s="88">
        <v>0.22569435821626416</v>
      </c>
    </row>
    <row r="158" spans="1:69" s="74" customFormat="1" ht="18">
      <c r="A158" s="70" t="s">
        <v>276</v>
      </c>
      <c r="B158" s="70">
        <v>132</v>
      </c>
      <c r="C158" s="70" t="s">
        <v>270</v>
      </c>
      <c r="D158" s="70" t="s">
        <v>267</v>
      </c>
      <c r="E158" s="77" t="s">
        <v>405</v>
      </c>
      <c r="F158" s="70"/>
      <c r="G158" s="70"/>
      <c r="H158" s="70" t="s">
        <v>421</v>
      </c>
      <c r="I158" s="70" t="s">
        <v>251</v>
      </c>
      <c r="J158" s="80" t="s">
        <v>268</v>
      </c>
      <c r="K158" s="70" t="s">
        <v>118</v>
      </c>
      <c r="L158" s="78" t="s">
        <v>269</v>
      </c>
      <c r="M158" s="70"/>
      <c r="N158" s="70"/>
      <c r="O158" s="70">
        <v>19.04</v>
      </c>
      <c r="P158" s="70">
        <v>1.29</v>
      </c>
      <c r="Q158" s="70">
        <v>0.39</v>
      </c>
      <c r="R158" s="70">
        <v>30</v>
      </c>
      <c r="S158" s="70">
        <v>571.29999999999995</v>
      </c>
      <c r="T158" s="79">
        <v>28.80544376373291</v>
      </c>
      <c r="U158" s="79">
        <v>25.165372848510742</v>
      </c>
      <c r="V158" s="79">
        <v>25.202524185180664</v>
      </c>
      <c r="W158" s="79">
        <v>25.13870906829834</v>
      </c>
      <c r="X158" s="79">
        <v>27.108829498291016</v>
      </c>
      <c r="Y158" s="79">
        <v>24.802726745605469</v>
      </c>
      <c r="Z158" s="79">
        <v>25.754884719848633</v>
      </c>
      <c r="AA158" s="79">
        <v>24.991240501403809</v>
      </c>
      <c r="AB158" s="79">
        <v>40</v>
      </c>
      <c r="AC158" s="79">
        <v>27.035264015197754</v>
      </c>
      <c r="AD158" s="79">
        <v>38.655994415283203</v>
      </c>
      <c r="AE158" s="79">
        <v>25.232017517089844</v>
      </c>
      <c r="AF158" s="79">
        <v>33.408475875854492</v>
      </c>
      <c r="AG158" s="79">
        <v>25.26632022857666</v>
      </c>
      <c r="AH158" s="79">
        <v>34.074394226074219</v>
      </c>
      <c r="AI158" s="79">
        <v>25.406368255615234</v>
      </c>
      <c r="AJ158" s="79">
        <v>37.419639587402344</v>
      </c>
      <c r="AK158" s="79">
        <v>25.389430999755859</v>
      </c>
      <c r="AL158" s="70" t="s">
        <v>251</v>
      </c>
      <c r="AM158" s="73">
        <f t="shared" si="33"/>
        <v>52.302150883869203</v>
      </c>
      <c r="AP158" s="70" t="s">
        <v>421</v>
      </c>
      <c r="AQ158" s="70" t="s">
        <v>251</v>
      </c>
      <c r="AR158" s="75">
        <f t="shared" si="34"/>
        <v>3.640070915222168</v>
      </c>
      <c r="AS158" s="75">
        <f t="shared" si="35"/>
        <v>6.3815116882324219E-2</v>
      </c>
      <c r="AT158" s="75">
        <f t="shared" si="36"/>
        <v>2.3061027526855469</v>
      </c>
      <c r="AU158" s="75">
        <f t="shared" si="37"/>
        <v>0.76364421844482422</v>
      </c>
      <c r="AV158" s="75">
        <f t="shared" si="38"/>
        <v>12.964735984802246</v>
      </c>
      <c r="AW158" s="75">
        <f t="shared" si="39"/>
        <v>13.423976898193359</v>
      </c>
      <c r="AX158" s="75">
        <f t="shared" si="40"/>
        <v>8.142155647277832</v>
      </c>
      <c r="AY158" s="75">
        <f t="shared" si="41"/>
        <v>8.6680259704589844</v>
      </c>
      <c r="AZ158" s="75">
        <f t="shared" si="42"/>
        <v>12.030208587646484</v>
      </c>
      <c r="BA158" s="75"/>
      <c r="BB158" s="70" t="s">
        <v>421</v>
      </c>
      <c r="BC158" s="70" t="s">
        <v>251</v>
      </c>
      <c r="BD158" s="75" t="e">
        <f>AR158*#REF!</f>
        <v>#REF!</v>
      </c>
      <c r="BE158" s="75" t="e">
        <f>AS158*#REF!</f>
        <v>#REF!</v>
      </c>
      <c r="BF158" s="75" t="e">
        <f>AT158*#REF!</f>
        <v>#REF!</v>
      </c>
      <c r="BG158" s="75" t="e">
        <f>AU158*#REF!</f>
        <v>#REF!</v>
      </c>
      <c r="BH158" s="75" t="e">
        <f>AV158*#REF!</f>
        <v>#REF!</v>
      </c>
      <c r="BI158" s="75" t="e">
        <f>AW158*#REF!</f>
        <v>#REF!</v>
      </c>
      <c r="BJ158" s="75" t="e">
        <f>AX158*#REF!</f>
        <v>#REF!</v>
      </c>
      <c r="BK158" s="75" t="e">
        <f>AY158*#REF!</f>
        <v>#REF!</v>
      </c>
      <c r="BL158" s="75" t="e">
        <f>AZ158*#REF!</f>
        <v>#REF!</v>
      </c>
      <c r="BM158" s="75" t="e">
        <f t="shared" si="43"/>
        <v>#REF!</v>
      </c>
      <c r="BN158" s="84" t="e">
        <f t="shared" si="44"/>
        <v>#REF!</v>
      </c>
      <c r="BP158" s="88">
        <v>52.302150883869203</v>
      </c>
      <c r="BQ158" s="88">
        <v>0.21260942119451898</v>
      </c>
    </row>
    <row r="159" spans="1:69" s="74" customFormat="1" ht="18">
      <c r="A159" s="70" t="s">
        <v>276</v>
      </c>
      <c r="B159" s="70">
        <v>133</v>
      </c>
      <c r="C159" s="70" t="s">
        <v>271</v>
      </c>
      <c r="D159" s="70" t="s">
        <v>272</v>
      </c>
      <c r="E159" s="77" t="s">
        <v>406</v>
      </c>
      <c r="F159" s="70"/>
      <c r="G159" s="70"/>
      <c r="H159" s="70" t="s">
        <v>422</v>
      </c>
      <c r="I159" s="70" t="s">
        <v>251</v>
      </c>
      <c r="J159" s="80" t="s">
        <v>273</v>
      </c>
      <c r="K159" s="80" t="s">
        <v>118</v>
      </c>
      <c r="L159" s="78" t="s">
        <v>274</v>
      </c>
      <c r="M159" s="70"/>
      <c r="N159" s="70"/>
      <c r="O159" s="70">
        <v>29.04</v>
      </c>
      <c r="P159" s="70">
        <v>1.36</v>
      </c>
      <c r="Q159" s="70">
        <v>0.42</v>
      </c>
      <c r="R159" s="70">
        <v>30</v>
      </c>
      <c r="S159" s="70">
        <v>871.3</v>
      </c>
      <c r="T159" s="79">
        <v>27.060273170471191</v>
      </c>
      <c r="U159" s="79">
        <v>25.607148170471191</v>
      </c>
      <c r="V159" s="79">
        <v>26.191527366638184</v>
      </c>
      <c r="W159" s="79">
        <v>25.665995597839355</v>
      </c>
      <c r="X159" s="79">
        <v>26.241135597229004</v>
      </c>
      <c r="Y159" s="79">
        <v>24.875649452209473</v>
      </c>
      <c r="Z159" s="79">
        <v>25.706271171569824</v>
      </c>
      <c r="AA159" s="79">
        <v>25.347978591918945</v>
      </c>
      <c r="AB159" s="79">
        <v>40</v>
      </c>
      <c r="AC159" s="79">
        <v>27.296962738037109</v>
      </c>
      <c r="AD159" s="79">
        <v>36.314193725585938</v>
      </c>
      <c r="AE159" s="79">
        <v>25.802491188049316</v>
      </c>
      <c r="AF159" s="79">
        <v>34.580934524536133</v>
      </c>
      <c r="AG159" s="79">
        <v>25.733043670654297</v>
      </c>
      <c r="AH159" s="79">
        <v>33.397859573364258</v>
      </c>
      <c r="AI159" s="79">
        <v>25.854182243347168</v>
      </c>
      <c r="AJ159" s="79">
        <v>35.411907196044922</v>
      </c>
      <c r="AK159" s="79">
        <v>25.66313648223877</v>
      </c>
      <c r="AL159" s="70" t="s">
        <v>251</v>
      </c>
      <c r="AM159" s="73">
        <f t="shared" si="33"/>
        <v>8.0509800468819765</v>
      </c>
      <c r="AP159" s="70" t="s">
        <v>422</v>
      </c>
      <c r="AQ159" s="70" t="s">
        <v>251</v>
      </c>
      <c r="AR159" s="75">
        <f t="shared" si="34"/>
        <v>1.453125</v>
      </c>
      <c r="AS159" s="75">
        <f t="shared" si="35"/>
        <v>0.52553176879882812</v>
      </c>
      <c r="AT159" s="75">
        <f t="shared" si="36"/>
        <v>1.3654861450195312</v>
      </c>
      <c r="AU159" s="75">
        <f t="shared" si="37"/>
        <v>0.35829257965087891</v>
      </c>
      <c r="AV159" s="75">
        <f t="shared" si="38"/>
        <v>12.703037261962891</v>
      </c>
      <c r="AW159" s="75">
        <f t="shared" si="39"/>
        <v>10.511702537536621</v>
      </c>
      <c r="AX159" s="75">
        <f t="shared" si="40"/>
        <v>8.8478908538818359</v>
      </c>
      <c r="AY159" s="75">
        <f t="shared" si="41"/>
        <v>7.5436773300170898</v>
      </c>
      <c r="AZ159" s="75">
        <f t="shared" si="42"/>
        <v>9.7487707138061523</v>
      </c>
      <c r="BA159" s="75"/>
      <c r="BB159" s="70" t="s">
        <v>422</v>
      </c>
      <c r="BC159" s="70" t="s">
        <v>251</v>
      </c>
      <c r="BD159" s="75" t="e">
        <f>AR159*#REF!</f>
        <v>#REF!</v>
      </c>
      <c r="BE159" s="75" t="e">
        <f>AS159*#REF!</f>
        <v>#REF!</v>
      </c>
      <c r="BF159" s="75" t="e">
        <f>AT159*#REF!</f>
        <v>#REF!</v>
      </c>
      <c r="BG159" s="75" t="e">
        <f>AU159*#REF!</f>
        <v>#REF!</v>
      </c>
      <c r="BH159" s="75" t="e">
        <f>AV159*#REF!</f>
        <v>#REF!</v>
      </c>
      <c r="BI159" s="75" t="e">
        <f>AW159*#REF!</f>
        <v>#REF!</v>
      </c>
      <c r="BJ159" s="75" t="e">
        <f>AX159*#REF!</f>
        <v>#REF!</v>
      </c>
      <c r="BK159" s="75" t="e">
        <f>AY159*#REF!</f>
        <v>#REF!</v>
      </c>
      <c r="BL159" s="75" t="e">
        <f>AZ159*#REF!</f>
        <v>#REF!</v>
      </c>
      <c r="BM159" s="75" t="e">
        <f t="shared" si="43"/>
        <v>#REF!</v>
      </c>
      <c r="BN159" s="84" t="e">
        <f t="shared" si="44"/>
        <v>#REF!</v>
      </c>
      <c r="BP159" s="88">
        <v>8.0509800468819765</v>
      </c>
      <c r="BQ159" s="88">
        <v>0.14453055713716095</v>
      </c>
    </row>
    <row r="160" spans="1:69" s="74" customFormat="1" ht="18">
      <c r="A160" s="70" t="s">
        <v>276</v>
      </c>
      <c r="B160" s="70">
        <v>134</v>
      </c>
      <c r="C160" s="70" t="s">
        <v>275</v>
      </c>
      <c r="D160" s="70" t="s">
        <v>272</v>
      </c>
      <c r="E160" s="77" t="s">
        <v>406</v>
      </c>
      <c r="F160" s="70"/>
      <c r="G160" s="70"/>
      <c r="H160" s="70" t="s">
        <v>423</v>
      </c>
      <c r="I160" s="80" t="s">
        <v>251</v>
      </c>
      <c r="J160" s="80" t="s">
        <v>273</v>
      </c>
      <c r="K160" s="80" t="s">
        <v>118</v>
      </c>
      <c r="L160" s="78" t="s">
        <v>274</v>
      </c>
      <c r="M160" s="70"/>
      <c r="N160" s="70"/>
      <c r="O160" s="70">
        <v>22.86</v>
      </c>
      <c r="P160" s="70">
        <v>1.3</v>
      </c>
      <c r="Q160" s="70">
        <v>0.39</v>
      </c>
      <c r="R160" s="70">
        <v>30</v>
      </c>
      <c r="S160" s="70">
        <v>685.7</v>
      </c>
      <c r="T160" s="79">
        <v>27.05721378326416</v>
      </c>
      <c r="U160" s="79">
        <v>24.499608039855957</v>
      </c>
      <c r="V160" s="79">
        <v>25.426690101623535</v>
      </c>
      <c r="W160" s="79">
        <v>24.57568359375</v>
      </c>
      <c r="X160" s="79">
        <v>25.735261917114258</v>
      </c>
      <c r="Y160" s="79">
        <v>23.934678077697754</v>
      </c>
      <c r="Z160" s="79">
        <v>25.734668731689453</v>
      </c>
      <c r="AA160" s="79">
        <v>24.44382381439209</v>
      </c>
      <c r="AB160" s="79">
        <v>40</v>
      </c>
      <c r="AC160" s="79">
        <v>26.085307121276855</v>
      </c>
      <c r="AD160" s="79">
        <v>37.546150207519531</v>
      </c>
      <c r="AE160" s="79">
        <v>24.639548301696777</v>
      </c>
      <c r="AF160" s="79">
        <v>34.383829116821289</v>
      </c>
      <c r="AG160" s="79">
        <v>24.625231742858887</v>
      </c>
      <c r="AH160" s="79">
        <v>32.826231002807617</v>
      </c>
      <c r="AI160" s="79">
        <v>24.686291694641113</v>
      </c>
      <c r="AJ160" s="79">
        <v>35.814350128173828</v>
      </c>
      <c r="AK160" s="79">
        <v>24.549422264099121</v>
      </c>
      <c r="AL160" s="80" t="s">
        <v>251</v>
      </c>
      <c r="AM160" s="73">
        <f t="shared" si="33"/>
        <v>2.1168497702999245</v>
      </c>
      <c r="AP160" s="70" t="s">
        <v>423</v>
      </c>
      <c r="AQ160" s="80" t="s">
        <v>251</v>
      </c>
      <c r="AR160" s="75">
        <f t="shared" si="34"/>
        <v>2.5576057434082031</v>
      </c>
      <c r="AS160" s="75">
        <f t="shared" si="35"/>
        <v>0.85100650787353516</v>
      </c>
      <c r="AT160" s="75">
        <f t="shared" si="36"/>
        <v>1.8005838394165039</v>
      </c>
      <c r="AU160" s="75">
        <f t="shared" si="37"/>
        <v>1.2908449172973633</v>
      </c>
      <c r="AV160" s="75">
        <f t="shared" si="38"/>
        <v>13.914692878723145</v>
      </c>
      <c r="AW160" s="75">
        <f t="shared" si="39"/>
        <v>12.906601905822754</v>
      </c>
      <c r="AX160" s="75">
        <f t="shared" si="40"/>
        <v>9.7585973739624023</v>
      </c>
      <c r="AY160" s="75">
        <f t="shared" si="41"/>
        <v>8.1399393081665039</v>
      </c>
      <c r="AZ160" s="75">
        <f t="shared" si="42"/>
        <v>11.264927864074707</v>
      </c>
      <c r="BA160" s="75"/>
      <c r="BB160" s="70" t="s">
        <v>423</v>
      </c>
      <c r="BC160" s="80" t="s">
        <v>251</v>
      </c>
      <c r="BD160" s="75" t="e">
        <f>AR160*#REF!</f>
        <v>#REF!</v>
      </c>
      <c r="BE160" s="75" t="e">
        <f>AS160*#REF!</f>
        <v>#REF!</v>
      </c>
      <c r="BF160" s="75" t="e">
        <f>AT160*#REF!</f>
        <v>#REF!</v>
      </c>
      <c r="BG160" s="75" t="e">
        <f>AU160*#REF!</f>
        <v>#REF!</v>
      </c>
      <c r="BH160" s="75" t="e">
        <f>AV160*#REF!</f>
        <v>#REF!</v>
      </c>
      <c r="BI160" s="75" t="e">
        <f>AW160*#REF!</f>
        <v>#REF!</v>
      </c>
      <c r="BJ160" s="75" t="e">
        <f>AX160*#REF!</f>
        <v>#REF!</v>
      </c>
      <c r="BK160" s="75" t="e">
        <f>AY160*#REF!</f>
        <v>#REF!</v>
      </c>
      <c r="BL160" s="75" t="e">
        <f>AZ160*#REF!</f>
        <v>#REF!</v>
      </c>
      <c r="BM160" s="75" t="e">
        <f t="shared" si="43"/>
        <v>#REF!</v>
      </c>
      <c r="BN160" s="84" t="e">
        <f t="shared" si="44"/>
        <v>#REF!</v>
      </c>
      <c r="BP160" s="88">
        <v>2.1168497702999245</v>
      </c>
      <c r="BQ160" s="88">
        <v>5.1790555075595636E-2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조덕연</dc:creator>
  <cp:lastModifiedBy>정경호</cp:lastModifiedBy>
  <cp:lastPrinted>2025-09-24T04:30:58Z</cp:lastPrinted>
  <dcterms:created xsi:type="dcterms:W3CDTF">2025-09-10T05:36:23Z</dcterms:created>
  <dcterms:modified xsi:type="dcterms:W3CDTF">2025-12-16T06:24:06Z</dcterms:modified>
</cp:coreProperties>
</file>